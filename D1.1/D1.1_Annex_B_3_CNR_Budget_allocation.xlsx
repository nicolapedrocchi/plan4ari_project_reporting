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nrsc.sharepoint.com/sites/STIIMA-IR-LAB-PLAN4ARI-grp/Shared Documents/Project Reporting/D1.1/"/>
    </mc:Choice>
  </mc:AlternateContent>
  <xr:revisionPtr revIDLastSave="0" documentId="8_{5CB544D2-FBC1-4671-A43A-547BBE146334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Generale" sheetId="1" r:id="rId1"/>
    <sheet name="Ore-Mese" sheetId="2" r:id="rId2"/>
    <sheet name="Mesi-Uom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J9" i="1" s="1"/>
  <c r="F10" i="1"/>
  <c r="F11" i="1"/>
  <c r="J11" i="1" s="1"/>
  <c r="F12" i="1"/>
  <c r="F13" i="1"/>
  <c r="J13" i="1" s="1"/>
  <c r="F14" i="1"/>
  <c r="J14" i="1" s="1"/>
  <c r="F15" i="1"/>
  <c r="J15" i="1" s="1"/>
  <c r="F16" i="1"/>
  <c r="F17" i="1"/>
  <c r="F18" i="1"/>
  <c r="F19" i="1"/>
  <c r="F20" i="1"/>
  <c r="J20" i="1" s="1"/>
  <c r="F21" i="1"/>
  <c r="J21" i="1" s="1"/>
  <c r="F22" i="1"/>
  <c r="F23" i="1"/>
  <c r="F24" i="1"/>
  <c r="F25" i="1"/>
  <c r="J25" i="1" s="1"/>
  <c r="F26" i="1"/>
  <c r="J26" i="1" s="1"/>
  <c r="F27" i="1"/>
  <c r="J27" i="1" s="1"/>
  <c r="J5" i="1"/>
  <c r="J17" i="1"/>
  <c r="J19" i="1"/>
  <c r="J22" i="1"/>
  <c r="J23" i="1"/>
  <c r="G4" i="1"/>
  <c r="H4" i="1"/>
  <c r="I4" i="1"/>
  <c r="G5" i="1"/>
  <c r="H5" i="1"/>
  <c r="I5" i="1"/>
  <c r="G6" i="1"/>
  <c r="H6" i="1"/>
  <c r="I6" i="1"/>
  <c r="G7" i="1"/>
  <c r="H7" i="1"/>
  <c r="I7" i="1"/>
  <c r="G8" i="1"/>
  <c r="H8" i="1"/>
  <c r="I8" i="1"/>
  <c r="G9" i="1"/>
  <c r="H9" i="1"/>
  <c r="I9" i="1"/>
  <c r="J10" i="1"/>
  <c r="G10" i="1"/>
  <c r="H10" i="1"/>
  <c r="I10" i="1"/>
  <c r="G11" i="1"/>
  <c r="H11" i="1"/>
  <c r="I11" i="1"/>
  <c r="G12" i="1"/>
  <c r="H12" i="1"/>
  <c r="I12" i="1"/>
  <c r="G13" i="1"/>
  <c r="H13" i="1"/>
  <c r="I13" i="1"/>
  <c r="G14" i="1"/>
  <c r="H14" i="1"/>
  <c r="I14" i="1"/>
  <c r="G15" i="1"/>
  <c r="H15" i="1"/>
  <c r="I15" i="1"/>
  <c r="G16" i="1"/>
  <c r="H16" i="1"/>
  <c r="I16" i="1"/>
  <c r="G17" i="1"/>
  <c r="H17" i="1"/>
  <c r="I17" i="1"/>
  <c r="G18" i="1"/>
  <c r="H18" i="1"/>
  <c r="I18" i="1"/>
  <c r="G19" i="1"/>
  <c r="H19" i="1"/>
  <c r="I19" i="1"/>
  <c r="G20" i="1"/>
  <c r="H20" i="1"/>
  <c r="I20" i="1"/>
  <c r="G21" i="1"/>
  <c r="H21" i="1"/>
  <c r="I21" i="1"/>
  <c r="G22" i="1"/>
  <c r="H22" i="1"/>
  <c r="I22" i="1"/>
  <c r="G23" i="1"/>
  <c r="H23" i="1"/>
  <c r="I23" i="1"/>
  <c r="G24" i="1"/>
  <c r="H24" i="1"/>
  <c r="I24" i="1"/>
  <c r="G25" i="1"/>
  <c r="H25" i="1"/>
  <c r="I25" i="1"/>
  <c r="G26" i="1"/>
  <c r="H26" i="1"/>
  <c r="I26" i="1"/>
  <c r="G27" i="1"/>
  <c r="H27" i="1"/>
  <c r="I27" i="1"/>
  <c r="J6" i="1"/>
  <c r="J7" i="1"/>
  <c r="J8" i="1"/>
  <c r="J18" i="1"/>
  <c r="C3" i="3"/>
  <c r="D3" i="3"/>
  <c r="E3" i="3"/>
  <c r="F3" i="3"/>
  <c r="C4" i="3"/>
  <c r="G4" i="3" s="1"/>
  <c r="D4" i="3"/>
  <c r="E4" i="3"/>
  <c r="F4" i="3"/>
  <c r="C5" i="3"/>
  <c r="D5" i="3"/>
  <c r="E5" i="3"/>
  <c r="G5" i="3" s="1"/>
  <c r="F5" i="3"/>
  <c r="C6" i="3"/>
  <c r="D6" i="3"/>
  <c r="E6" i="3"/>
  <c r="F6" i="3"/>
  <c r="C7" i="3"/>
  <c r="D7" i="3"/>
  <c r="G7" i="3" s="1"/>
  <c r="E7" i="3"/>
  <c r="F7" i="3"/>
  <c r="C8" i="3"/>
  <c r="D8" i="3"/>
  <c r="E8" i="3"/>
  <c r="G8" i="3" s="1"/>
  <c r="F8" i="3"/>
  <c r="C9" i="3"/>
  <c r="D9" i="3"/>
  <c r="E9" i="3"/>
  <c r="F9" i="3"/>
  <c r="C10" i="3"/>
  <c r="D10" i="3"/>
  <c r="E10" i="3"/>
  <c r="F10" i="3"/>
  <c r="C11" i="3"/>
  <c r="D11" i="3"/>
  <c r="E11" i="3"/>
  <c r="F11" i="3"/>
  <c r="G11" i="3" s="1"/>
  <c r="C12" i="3"/>
  <c r="D12" i="3"/>
  <c r="E12" i="3"/>
  <c r="F12" i="3"/>
  <c r="C13" i="3"/>
  <c r="D13" i="3"/>
  <c r="G13" i="3" s="1"/>
  <c r="E13" i="3"/>
  <c r="F13" i="3"/>
  <c r="C14" i="3"/>
  <c r="D14" i="3"/>
  <c r="E14" i="3"/>
  <c r="G14" i="3" s="1"/>
  <c r="F14" i="3"/>
  <c r="C15" i="3"/>
  <c r="D15" i="3"/>
  <c r="E15" i="3"/>
  <c r="F15" i="3"/>
  <c r="G15" i="3" s="1"/>
  <c r="C16" i="3"/>
  <c r="G16" i="3" s="1"/>
  <c r="D16" i="3"/>
  <c r="E16" i="3"/>
  <c r="F16" i="3"/>
  <c r="C17" i="3"/>
  <c r="G17" i="3" s="1"/>
  <c r="D17" i="3"/>
  <c r="E17" i="3"/>
  <c r="F17" i="3"/>
  <c r="C18" i="3"/>
  <c r="D18" i="3"/>
  <c r="E18" i="3"/>
  <c r="F18" i="3"/>
  <c r="C19" i="3"/>
  <c r="G19" i="3" s="1"/>
  <c r="D19" i="3"/>
  <c r="E19" i="3"/>
  <c r="F19" i="3"/>
  <c r="C20" i="3"/>
  <c r="G20" i="3" s="1"/>
  <c r="D20" i="3"/>
  <c r="E20" i="3"/>
  <c r="F20" i="3"/>
  <c r="C21" i="3"/>
  <c r="D21" i="3"/>
  <c r="E21" i="3"/>
  <c r="F21" i="3"/>
  <c r="C22" i="3"/>
  <c r="G22" i="3" s="1"/>
  <c r="D22" i="3"/>
  <c r="E22" i="3"/>
  <c r="F22" i="3"/>
  <c r="C23" i="3"/>
  <c r="G23" i="3" s="1"/>
  <c r="D23" i="3"/>
  <c r="E23" i="3"/>
  <c r="F23" i="3"/>
  <c r="D2" i="3"/>
  <c r="E2" i="3"/>
  <c r="F2" i="3"/>
  <c r="C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" i="3"/>
  <c r="G3" i="3"/>
  <c r="G6" i="3"/>
  <c r="G9" i="3"/>
  <c r="G10" i="3"/>
  <c r="G12" i="3"/>
  <c r="G18" i="3"/>
  <c r="G21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" i="3"/>
  <c r="I58" i="1"/>
  <c r="H58" i="1"/>
  <c r="G58" i="1"/>
  <c r="F58" i="1"/>
  <c r="J58" i="1"/>
  <c r="H59" i="1"/>
  <c r="I59" i="1"/>
  <c r="J4" i="1" l="1"/>
  <c r="J24" i="1"/>
  <c r="J16" i="1"/>
  <c r="J12" i="1"/>
  <c r="F59" i="1"/>
  <c r="G59" i="1"/>
  <c r="J57" i="1"/>
  <c r="J59" i="1" s="1"/>
  <c r="A46" i="1" l="1"/>
  <c r="B46" i="1"/>
  <c r="C46" i="1"/>
  <c r="D46" i="1"/>
  <c r="E4" i="1"/>
  <c r="E32" i="1" s="1"/>
  <c r="E5" i="1"/>
  <c r="E6" i="1"/>
  <c r="E34" i="1" s="1"/>
  <c r="E7" i="1"/>
  <c r="E35" i="1" s="1"/>
  <c r="E8" i="1"/>
  <c r="E36" i="1" s="1"/>
  <c r="E9" i="1"/>
  <c r="E37" i="1" s="1"/>
  <c r="E10" i="1"/>
  <c r="E38" i="1" s="1"/>
  <c r="E11" i="1"/>
  <c r="E12" i="1"/>
  <c r="E40" i="1" s="1"/>
  <c r="E13" i="1"/>
  <c r="E41" i="1" s="1"/>
  <c r="E14" i="1"/>
  <c r="E42" i="1" s="1"/>
  <c r="E15" i="1"/>
  <c r="E43" i="1" s="1"/>
  <c r="E16" i="1"/>
  <c r="E17" i="1"/>
  <c r="E45" i="1" s="1"/>
  <c r="E18" i="1"/>
  <c r="E46" i="1" s="1"/>
  <c r="E19" i="1"/>
  <c r="E47" i="1" s="1"/>
  <c r="E20" i="1"/>
  <c r="E48" i="1" s="1"/>
  <c r="E21" i="1"/>
  <c r="E49" i="1" s="1"/>
  <c r="E22" i="1"/>
  <c r="E50" i="1" s="1"/>
  <c r="E23" i="1"/>
  <c r="E51" i="1" s="1"/>
  <c r="E24" i="1"/>
  <c r="E52" i="1" s="1"/>
  <c r="E25" i="1"/>
  <c r="E53" i="1" s="1"/>
  <c r="E26" i="1"/>
  <c r="E54" i="1" s="1"/>
  <c r="E27" i="1"/>
  <c r="E677" i="2"/>
  <c r="B32" i="1"/>
  <c r="C32" i="1"/>
  <c r="D32" i="1"/>
  <c r="B33" i="1"/>
  <c r="C33" i="1"/>
  <c r="D33" i="1"/>
  <c r="B34" i="1"/>
  <c r="C34" i="1"/>
  <c r="D34" i="1"/>
  <c r="B35" i="1"/>
  <c r="C35" i="1"/>
  <c r="D35" i="1"/>
  <c r="B36" i="1"/>
  <c r="C36" i="1"/>
  <c r="D36" i="1"/>
  <c r="B37" i="1"/>
  <c r="C37" i="1"/>
  <c r="D37" i="1"/>
  <c r="B38" i="1"/>
  <c r="C38" i="1"/>
  <c r="D38" i="1"/>
  <c r="B39" i="1"/>
  <c r="C39" i="1"/>
  <c r="D39" i="1"/>
  <c r="B40" i="1"/>
  <c r="C40" i="1"/>
  <c r="D40" i="1"/>
  <c r="B41" i="1"/>
  <c r="C41" i="1"/>
  <c r="D41" i="1"/>
  <c r="B42" i="1"/>
  <c r="C42" i="1"/>
  <c r="D42" i="1"/>
  <c r="B43" i="1"/>
  <c r="C43" i="1"/>
  <c r="D43" i="1"/>
  <c r="B44" i="1"/>
  <c r="C44" i="1"/>
  <c r="D44" i="1"/>
  <c r="B45" i="1"/>
  <c r="C45" i="1"/>
  <c r="D45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32" i="1"/>
  <c r="I53" i="1" l="1"/>
  <c r="G46" i="1"/>
  <c r="G34" i="1"/>
  <c r="H53" i="1"/>
  <c r="F54" i="1"/>
  <c r="F51" i="1"/>
  <c r="I50" i="1"/>
  <c r="I41" i="1"/>
  <c r="I38" i="1"/>
  <c r="I61" i="1" s="1"/>
  <c r="H50" i="1"/>
  <c r="H41" i="1"/>
  <c r="H39" i="1"/>
  <c r="H33" i="1"/>
  <c r="F48" i="1"/>
  <c r="F45" i="1"/>
  <c r="F42" i="1"/>
  <c r="F39" i="1"/>
  <c r="F36" i="1"/>
  <c r="F33" i="1"/>
  <c r="G47" i="1"/>
  <c r="G38" i="1"/>
  <c r="G61" i="1" s="1"/>
  <c r="G35" i="1"/>
  <c r="I47" i="1"/>
  <c r="I35" i="1"/>
  <c r="H38" i="1"/>
  <c r="H61" i="1" s="1"/>
  <c r="H35" i="1"/>
  <c r="G50" i="1"/>
  <c r="F47" i="1"/>
  <c r="F35" i="1"/>
  <c r="H47" i="1"/>
  <c r="I46" i="1"/>
  <c r="H49" i="1"/>
  <c r="H46" i="1"/>
  <c r="H37" i="1"/>
  <c r="H34" i="1"/>
  <c r="F32" i="1"/>
  <c r="H32" i="1"/>
  <c r="F53" i="1"/>
  <c r="F50" i="1"/>
  <c r="F38" i="1"/>
  <c r="F61" i="1" s="1"/>
  <c r="G32" i="1"/>
  <c r="H44" i="1"/>
  <c r="G41" i="1"/>
  <c r="I52" i="1"/>
  <c r="I49" i="1"/>
  <c r="I43" i="1"/>
  <c r="I40" i="1"/>
  <c r="I37" i="1"/>
  <c r="I32" i="1"/>
  <c r="G44" i="1"/>
  <c r="H52" i="1"/>
  <c r="H43" i="1"/>
  <c r="F52" i="1"/>
  <c r="F49" i="1"/>
  <c r="F46" i="1"/>
  <c r="F43" i="1"/>
  <c r="F40" i="1"/>
  <c r="F37" i="1"/>
  <c r="F34" i="1"/>
  <c r="I44" i="1"/>
  <c r="G53" i="1"/>
  <c r="G52" i="1"/>
  <c r="G43" i="1"/>
  <c r="G37" i="1"/>
  <c r="I54" i="1"/>
  <c r="I51" i="1"/>
  <c r="I48" i="1"/>
  <c r="I45" i="1"/>
  <c r="I42" i="1"/>
  <c r="I39" i="1"/>
  <c r="I36" i="1"/>
  <c r="I33" i="1"/>
  <c r="G49" i="1"/>
  <c r="G40" i="1"/>
  <c r="H54" i="1"/>
  <c r="H51" i="1"/>
  <c r="H48" i="1"/>
  <c r="H45" i="1"/>
  <c r="H42" i="1"/>
  <c r="E33" i="1"/>
  <c r="H40" i="1"/>
  <c r="G54" i="1"/>
  <c r="G51" i="1"/>
  <c r="G48" i="1"/>
  <c r="G45" i="1"/>
  <c r="G42" i="1"/>
  <c r="G39" i="1"/>
  <c r="G36" i="1"/>
  <c r="G33" i="1"/>
  <c r="I34" i="1"/>
  <c r="F44" i="1"/>
  <c r="E44" i="1"/>
  <c r="F41" i="1"/>
  <c r="E39" i="1"/>
  <c r="H36" i="1"/>
  <c r="E28" i="1"/>
  <c r="F28" i="1"/>
  <c r="I28" i="1"/>
  <c r="H28" i="1"/>
  <c r="G28" i="1"/>
  <c r="E541" i="2"/>
  <c r="P456" i="2"/>
  <c r="E632" i="2"/>
  <c r="E586" i="2"/>
  <c r="E496" i="2"/>
  <c r="H24" i="3"/>
  <c r="F24" i="3"/>
  <c r="E24" i="3"/>
  <c r="D24" i="3"/>
  <c r="C24" i="3"/>
  <c r="G2" i="3"/>
  <c r="E451" i="2"/>
  <c r="E406" i="2"/>
  <c r="E361" i="2"/>
  <c r="E316" i="2"/>
  <c r="E271" i="2"/>
  <c r="E226" i="2"/>
  <c r="E181" i="2"/>
  <c r="E136" i="2"/>
  <c r="E91" i="2"/>
  <c r="E46" i="2"/>
  <c r="J50" i="1" l="1"/>
  <c r="J49" i="1"/>
  <c r="J53" i="1"/>
  <c r="J48" i="1"/>
  <c r="J51" i="1"/>
  <c r="J54" i="1"/>
  <c r="J47" i="1"/>
  <c r="J46" i="1"/>
  <c r="E55" i="1"/>
  <c r="I55" i="1"/>
  <c r="J52" i="1"/>
  <c r="G55" i="1"/>
  <c r="H55" i="1"/>
  <c r="F55" i="1"/>
  <c r="J43" i="1"/>
  <c r="J42" i="1"/>
  <c r="J44" i="1"/>
  <c r="G24" i="3"/>
  <c r="G63" i="1" l="1"/>
  <c r="G62" i="1"/>
  <c r="F62" i="1"/>
  <c r="F63" i="1"/>
  <c r="I62" i="1"/>
  <c r="I63" i="1"/>
  <c r="H62" i="1"/>
  <c r="H63" i="1"/>
  <c r="J28" i="1"/>
  <c r="J40" i="1"/>
  <c r="J33" i="1"/>
  <c r="J39" i="1"/>
  <c r="J32" i="1"/>
  <c r="J41" i="1"/>
  <c r="J35" i="1"/>
  <c r="J34" i="1"/>
  <c r="J45" i="1"/>
  <c r="J37" i="1"/>
  <c r="J38" i="1"/>
  <c r="J61" i="1" s="1"/>
  <c r="J36" i="1"/>
  <c r="J55" i="1" l="1"/>
  <c r="J62" i="1" l="1"/>
  <c r="J63" i="1"/>
</calcChain>
</file>

<file path=xl/sharedStrings.xml><?xml version="1.0" encoding="utf-8"?>
<sst xmlns="http://schemas.openxmlformats.org/spreadsheetml/2006/main" count="1429" uniqueCount="90">
  <si>
    <t>Nominativo / Risorsa</t>
  </si>
  <si>
    <t>CF</t>
  </si>
  <si>
    <t>Ruolo</t>
  </si>
  <si>
    <t>Costo Orario (€/h)</t>
  </si>
  <si>
    <t>Ore Anno 1</t>
  </si>
  <si>
    <t>Ore Anno 2</t>
  </si>
  <si>
    <t>Ore Anno 3</t>
  </si>
  <si>
    <t>Ore Anno 4</t>
  </si>
  <si>
    <t>Totale Ore</t>
  </si>
  <si>
    <t>Andretto Elia</t>
  </si>
  <si>
    <t>NDRLEI98H26E063K</t>
  </si>
  <si>
    <t>CTER</t>
  </si>
  <si>
    <t>Bozzi Roberto</t>
  </si>
  <si>
    <t>BZZRRT67H19F205U</t>
  </si>
  <si>
    <t>Caimmi Marco</t>
  </si>
  <si>
    <t>CMMMRC68C12F205K</t>
  </si>
  <si>
    <t>I ricercatore</t>
  </si>
  <si>
    <t>Chizzoli Guido</t>
  </si>
  <si>
    <t>CHZGDU78R25D142Y</t>
  </si>
  <si>
    <t>Ricercatore III</t>
  </si>
  <si>
    <t>Dinon Tito</t>
  </si>
  <si>
    <t>DNNTTI86M09C933W</t>
  </si>
  <si>
    <t>Mottura Stefano</t>
  </si>
  <si>
    <t>MTTSFN70L14F205T</t>
  </si>
  <si>
    <t>I Tecnologo</t>
  </si>
  <si>
    <t>Pedrocchi Nicola</t>
  </si>
  <si>
    <t>PDRNCL79H26E333U</t>
  </si>
  <si>
    <t>Dir. Ricerca</t>
  </si>
  <si>
    <t>Silva Fabrizio</t>
  </si>
  <si>
    <t>SLVFRZ80S19L872K</t>
  </si>
  <si>
    <t>Tecnologo III</t>
  </si>
  <si>
    <t>Spena Pier Raffaele</t>
  </si>
  <si>
    <t>SPNPRF70T12F839E</t>
  </si>
  <si>
    <t>Villagrossi Enrico</t>
  </si>
  <si>
    <t>VLLNRC86R08E897T</t>
  </si>
  <si>
    <t>Ricercatore</t>
  </si>
  <si>
    <t>TOTALE</t>
  </si>
  <si>
    <t>Anno 1</t>
  </si>
  <si>
    <t>Anno 2</t>
  </si>
  <si>
    <t>Anno 3</t>
  </si>
  <si>
    <t>Anno 4</t>
  </si>
  <si>
    <t>Totale €</t>
  </si>
  <si>
    <t>L'allocazione è stata calcolata distribuendo il budget totale di ciascuna risorsa secondo le percentuali di spesa annuale previste nel Cronoprogramma.   (Anno 1: ~30,5%, Anno 2: ~30,5%, Anno 3: ~21,8%, Anno 4: ~17,3%), garantendo così la coerenza con il profilo finanziario del progetto.</t>
  </si>
  <si>
    <t>Risorsa</t>
  </si>
  <si>
    <t>Anno</t>
  </si>
  <si>
    <t>Mese</t>
  </si>
  <si>
    <t>Valore distribuito</t>
  </si>
  <si>
    <t>Febbraio</t>
  </si>
  <si>
    <t>Marzo</t>
  </si>
  <si>
    <t>Aprile</t>
  </si>
  <si>
    <t>Maggio</t>
  </si>
  <si>
    <t>Giugno</t>
  </si>
  <si>
    <t>Luglio</t>
  </si>
  <si>
    <t>Settembre</t>
  </si>
  <si>
    <t>Ottobre</t>
  </si>
  <si>
    <t>Novembre</t>
  </si>
  <si>
    <t>Dicembre</t>
  </si>
  <si>
    <t>Gennaio</t>
  </si>
  <si>
    <t>PM Anno 1</t>
  </si>
  <si>
    <t>PM Anno 2</t>
  </si>
  <si>
    <t>PM Anno 3</t>
  </si>
  <si>
    <t>PM Anno 4</t>
  </si>
  <si>
    <t>Totale PM</t>
  </si>
  <si>
    <t>Totale Ore (rif.)</t>
  </si>
  <si>
    <t>ALTO</t>
  </si>
  <si>
    <t>MEDIO</t>
  </si>
  <si>
    <t>BASSO</t>
  </si>
  <si>
    <t>EPR</t>
  </si>
  <si>
    <t>Fascia di livello</t>
  </si>
  <si>
    <t>Column1</t>
  </si>
  <si>
    <t>Anno Riferimento</t>
  </si>
  <si>
    <t>Fascia di Livello</t>
  </si>
  <si>
    <t>Incarico di Ricerca 1</t>
  </si>
  <si>
    <t>Incarico di Ricerca 2</t>
  </si>
  <si>
    <t>Contratto di Ricerca 1</t>
  </si>
  <si>
    <t>Contratto di Ricerca 2</t>
  </si>
  <si>
    <t>Fontana Gianmauro</t>
  </si>
  <si>
    <t>Total</t>
  </si>
  <si>
    <t>Anno riferimento costi orari</t>
  </si>
  <si>
    <t>Target PI</t>
  </si>
  <si>
    <t>Target RO</t>
  </si>
  <si>
    <t>Target Tot</t>
  </si>
  <si>
    <t>Delta PI</t>
  </si>
  <si>
    <t>Delta RO</t>
  </si>
  <si>
    <t>Delta Tot</t>
  </si>
  <si>
    <t>UNI</t>
  </si>
  <si>
    <t>IMP</t>
  </si>
  <si>
    <t>IMP-24</t>
  </si>
  <si>
    <t>UNI-24</t>
  </si>
  <si>
    <t>EPR-24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</si>
</sst>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&quot; €&quot;_-;\-* #,##0.00&quot; €&quot;_-;_-* \-??&quot; €&quot;_-;_-@_-"/>
    <numFmt numFmtId="165" formatCode="_-* #,##0.00\ _€_-;\-* #,##0.00\ _€_-;_-* \-??\ _€_-;_-@_-"/>
    <numFmt numFmtId="166" formatCode="#,##0.00\ [$€-410];[Red]\-#,##0.00\ [$€-410]"/>
  </numFmts>
  <fonts count="19" x14ac:knownFonts="1">
    <font>
      <sz val="10"/>
      <color rgb="FF000000"/>
      <name val="Arial"/>
      <charset val="1"/>
    </font>
    <font>
      <sz val="14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b/>
      <sz val="14"/>
      <color rgb="FFFF0000"/>
      <name val="Arial"/>
      <family val="2"/>
      <charset val="1"/>
    </font>
    <font>
      <sz val="14"/>
      <color rgb="FF000000"/>
      <name val="Arial"/>
      <family val="2"/>
    </font>
    <font>
      <b/>
      <sz val="14"/>
      <color rgb="FFFFFFFF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8"/>
      <name val="Arial"/>
      <family val="2"/>
    </font>
    <font>
      <b/>
      <sz val="14"/>
      <color theme="0"/>
      <name val="Arial"/>
      <family val="2"/>
      <charset val="1"/>
    </font>
    <font>
      <b/>
      <sz val="14"/>
      <color theme="1"/>
      <name val="Arial"/>
      <family val="2"/>
      <charset val="1"/>
    </font>
    <font>
      <sz val="14"/>
      <color theme="1"/>
      <name val="Arial"/>
      <family val="2"/>
      <charset val="1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0"/>
      <color rgb="FF000000"/>
      <name val="Arial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theme="9" tint="0.79989013336588644"/>
        <bgColor rgb="FFD3F1DB"/>
      </patternFill>
    </fill>
    <fill>
      <patternFill patternType="solid">
        <fgColor theme="4" tint="0.59987182226020086"/>
        <bgColor rgb="FFB8CCE4"/>
      </patternFill>
    </fill>
    <fill>
      <patternFill patternType="solid">
        <fgColor theme="5" tint="0.79989013336588644"/>
        <bgColor rgb="FFFFF2CC"/>
      </patternFill>
    </fill>
    <fill>
      <patternFill patternType="solid">
        <fgColor theme="7" tint="0.79989013336588644"/>
        <bgColor rgb="FFDAF2F4"/>
      </patternFill>
    </fill>
    <fill>
      <patternFill patternType="solid">
        <fgColor rgb="FF1F4E79"/>
        <bgColor rgb="FF003366"/>
      </patternFill>
    </fill>
    <fill>
      <patternFill patternType="solid">
        <fgColor rgb="FFD6E4F0"/>
        <bgColor rgb="FFDAF2F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8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 applyAlignment="1">
      <alignment horizontal="right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4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5" fillId="0" borderId="0" xfId="0" applyFont="1"/>
    <xf numFmtId="0" fontId="6" fillId="6" borderId="1" xfId="0" applyFont="1" applyFill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2" fontId="8" fillId="7" borderId="1" xfId="0" applyNumberFormat="1" applyFont="1" applyFill="1" applyBorder="1" applyAlignment="1">
      <alignment horizontal="center" vertical="center"/>
    </xf>
    <xf numFmtId="3" fontId="8" fillId="7" borderId="1" xfId="0" applyNumberFormat="1" applyFont="1" applyFill="1" applyBorder="1" applyAlignment="1">
      <alignment horizontal="center" vertical="center"/>
    </xf>
    <xf numFmtId="0" fontId="9" fillId="0" borderId="0" xfId="0" applyFont="1"/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5" fillId="0" borderId="4" xfId="0" applyFont="1" applyBorder="1"/>
    <xf numFmtId="164" fontId="15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vertical="top" wrapText="1"/>
    </xf>
    <xf numFmtId="0" fontId="13" fillId="10" borderId="0" xfId="0" applyFont="1" applyFill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1" fontId="1" fillId="5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/>
    </xf>
    <xf numFmtId="1" fontId="1" fillId="3" borderId="3" xfId="0" applyNumberFormat="1" applyFont="1" applyFill="1" applyBorder="1" applyAlignment="1">
      <alignment horizontal="center" vertical="center" wrapText="1"/>
    </xf>
    <xf numFmtId="0" fontId="3" fillId="0" borderId="0" xfId="0" applyFont="1"/>
    <xf numFmtId="164" fontId="3" fillId="0" borderId="0" xfId="0" applyNumberFormat="1" applyFont="1"/>
    <xf numFmtId="0" fontId="5" fillId="0" borderId="0" xfId="0" applyFont="1" applyAlignment="1">
      <alignment horizontal="center" vertical="center"/>
    </xf>
    <xf numFmtId="164" fontId="5" fillId="0" borderId="0" xfId="0" applyNumberFormat="1" applyFont="1"/>
    <xf numFmtId="0" fontId="11" fillId="0" borderId="0" xfId="0" applyFont="1"/>
    <xf numFmtId="0" fontId="5" fillId="9" borderId="0" xfId="0" applyFont="1" applyFill="1"/>
    <xf numFmtId="164" fontId="5" fillId="9" borderId="0" xfId="0" applyNumberFormat="1" applyFont="1" applyFill="1"/>
    <xf numFmtId="164" fontId="17" fillId="0" borderId="0" xfId="0" applyNumberFormat="1" applyFont="1"/>
    <xf numFmtId="0" fontId="2" fillId="0" borderId="6" xfId="0" applyFont="1" applyBorder="1"/>
    <xf numFmtId="166" fontId="1" fillId="0" borderId="6" xfId="0" applyNumberFormat="1" applyFont="1" applyBorder="1"/>
    <xf numFmtId="166" fontId="1" fillId="0" borderId="7" xfId="0" applyNumberFormat="1" applyFont="1" applyBorder="1"/>
    <xf numFmtId="166" fontId="1" fillId="0" borderId="0" xfId="0" applyNumberFormat="1" applyFont="1"/>
    <xf numFmtId="166" fontId="1" fillId="0" borderId="9" xfId="0" applyNumberFormat="1" applyFont="1" applyBorder="1"/>
    <xf numFmtId="0" fontId="2" fillId="11" borderId="6" xfId="0" applyFont="1" applyFill="1" applyBorder="1"/>
    <xf numFmtId="164" fontId="1" fillId="11" borderId="6" xfId="0" applyNumberFormat="1" applyFont="1" applyFill="1" applyBorder="1"/>
    <xf numFmtId="164" fontId="1" fillId="11" borderId="7" xfId="0" applyNumberFormat="1" applyFont="1" applyFill="1" applyBorder="1"/>
    <xf numFmtId="0" fontId="2" fillId="11" borderId="0" xfId="0" applyFont="1" applyFill="1"/>
    <xf numFmtId="164" fontId="1" fillId="11" borderId="0" xfId="0" applyNumberFormat="1" applyFont="1" applyFill="1"/>
    <xf numFmtId="164" fontId="1" fillId="11" borderId="9" xfId="0" applyNumberFormat="1" applyFont="1" applyFill="1" applyBorder="1"/>
    <xf numFmtId="0" fontId="2" fillId="11" borderId="11" xfId="0" applyFont="1" applyFill="1" applyBorder="1"/>
    <xf numFmtId="164" fontId="11" fillId="11" borderId="11" xfId="0" applyNumberFormat="1" applyFont="1" applyFill="1" applyBorder="1"/>
    <xf numFmtId="164" fontId="11" fillId="11" borderId="12" xfId="0" applyNumberFormat="1" applyFont="1" applyFill="1" applyBorder="1"/>
    <xf numFmtId="164" fontId="5" fillId="12" borderId="0" xfId="0" applyNumberFormat="1" applyFont="1" applyFill="1"/>
    <xf numFmtId="0" fontId="5" fillId="12" borderId="0" xfId="0" applyFont="1" applyFill="1"/>
    <xf numFmtId="49" fontId="6" fillId="6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left" vertical="center"/>
    </xf>
    <xf numFmtId="49" fontId="8" fillId="7" borderId="1" xfId="0" applyNumberFormat="1" applyFont="1" applyFill="1" applyBorder="1" applyAlignment="1">
      <alignment horizontal="left" vertical="center"/>
    </xf>
    <xf numFmtId="49" fontId="5" fillId="0" borderId="0" xfId="0" applyNumberFormat="1" applyFont="1"/>
    <xf numFmtId="49" fontId="11" fillId="8" borderId="0" xfId="0" applyNumberFormat="1" applyFont="1" applyFill="1"/>
    <xf numFmtId="49" fontId="1" fillId="0" borderId="0" xfId="0" applyNumberFormat="1" applyFont="1"/>
    <xf numFmtId="49" fontId="13" fillId="10" borderId="0" xfId="0" applyNumberFormat="1" applyFont="1" applyFill="1" applyAlignment="1">
      <alignment horizontal="center" vertical="center"/>
    </xf>
    <xf numFmtId="49" fontId="14" fillId="0" borderId="4" xfId="0" applyNumberFormat="1" applyFont="1" applyBorder="1"/>
    <xf numFmtId="49" fontId="5" fillId="0" borderId="0" xfId="0" applyNumberFormat="1" applyFont="1" applyAlignment="1">
      <alignment horizontal="center" vertical="center"/>
    </xf>
    <xf numFmtId="49" fontId="5" fillId="9" borderId="0" xfId="0" applyNumberFormat="1" applyFont="1" applyFill="1"/>
    <xf numFmtId="49" fontId="5" fillId="12" borderId="0" xfId="0" applyNumberFormat="1" applyFont="1" applyFill="1"/>
    <xf numFmtId="49" fontId="3" fillId="0" borderId="0" xfId="0" applyNumberFormat="1" applyFont="1"/>
    <xf numFmtId="49" fontId="10" fillId="11" borderId="5" xfId="0" applyNumberFormat="1" applyFont="1" applyFill="1" applyBorder="1"/>
    <xf numFmtId="49" fontId="10" fillId="11" borderId="8" xfId="0" applyNumberFormat="1" applyFont="1" applyFill="1" applyBorder="1"/>
    <xf numFmtId="49" fontId="10" fillId="11" borderId="10" xfId="0" applyNumberFormat="1" applyFont="1" applyFill="1" applyBorder="1"/>
    <xf numFmtId="49" fontId="10" fillId="0" borderId="0" xfId="0" applyNumberFormat="1" applyFont="1"/>
    <xf numFmtId="49" fontId="10" fillId="0" borderId="5" xfId="0" applyNumberFormat="1" applyFont="1" applyBorder="1"/>
    <xf numFmtId="49" fontId="10" fillId="0" borderId="8" xfId="0" applyNumberFormat="1" applyFont="1" applyBorder="1"/>
    <xf numFmtId="49" fontId="2" fillId="0" borderId="0" xfId="0" applyNumberFormat="1" applyFont="1"/>
    <xf numFmtId="49" fontId="1" fillId="0" borderId="0" xfId="0" applyNumberFormat="1" applyFont="1" applyAlignment="1">
      <alignment vertical="top" wrapText="1"/>
    </xf>
    <xf numFmtId="49" fontId="0" fillId="0" borderId="0" xfId="0" applyNumberFormat="1"/>
    <xf numFmtId="0" fontId="7" fillId="0" borderId="1" xfId="0" applyFont="1" applyBorder="1" applyAlignment="1">
      <alignment horizontal="left" vertical="center"/>
    </xf>
    <xf numFmtId="0" fontId="5" fillId="7" borderId="1" xfId="0" applyFont="1" applyFill="1" applyBorder="1"/>
    <xf numFmtId="4" fontId="15" fillId="0" borderId="4" xfId="0" applyNumberFormat="1" applyFont="1" applyBorder="1"/>
    <xf numFmtId="49" fontId="14" fillId="9" borderId="4" xfId="0" applyNumberFormat="1" applyFont="1" applyFill="1" applyBorder="1"/>
    <xf numFmtId="0" fontId="16" fillId="9" borderId="4" xfId="0" applyFont="1" applyFill="1" applyBorder="1"/>
    <xf numFmtId="0" fontId="15" fillId="9" borderId="4" xfId="0" applyFont="1" applyFill="1" applyBorder="1"/>
    <xf numFmtId="164" fontId="15" fillId="9" borderId="4" xfId="0" applyNumberFormat="1" applyFont="1" applyFill="1" applyBorder="1" applyAlignment="1">
      <alignment horizontal="center" vertical="center"/>
    </xf>
    <xf numFmtId="4" fontId="15" fillId="9" borderId="4" xfId="0" applyNumberFormat="1" applyFont="1" applyFill="1" applyBorder="1"/>
    <xf numFmtId="3" fontId="14" fillId="13" borderId="4" xfId="0" applyNumberFormat="1" applyFont="1" applyFill="1" applyBorder="1"/>
    <xf numFmtId="3" fontId="14" fillId="13" borderId="0" xfId="0" applyNumberFormat="1" applyFont="1" applyFill="1"/>
    <xf numFmtId="49" fontId="14" fillId="13" borderId="0" xfId="0" applyNumberFormat="1" applyFont="1" applyFill="1"/>
    <xf numFmtId="0" fontId="15" fillId="13" borderId="0" xfId="0" applyFont="1" applyFill="1"/>
    <xf numFmtId="164" fontId="15" fillId="13" borderId="0" xfId="0" applyNumberFormat="1" applyFont="1" applyFill="1" applyAlignment="1">
      <alignment horizontal="center" vertical="center"/>
    </xf>
    <xf numFmtId="49" fontId="10" fillId="0" borderId="13" xfId="0" applyNumberFormat="1" applyFont="1" applyBorder="1"/>
    <xf numFmtId="0" fontId="2" fillId="0" borderId="14" xfId="0" applyFont="1" applyBorder="1"/>
    <xf numFmtId="166" fontId="11" fillId="0" borderId="14" xfId="0" applyNumberFormat="1" applyFont="1" applyBorder="1"/>
    <xf numFmtId="166" fontId="11" fillId="0" borderId="15" xfId="0" applyNumberFormat="1" applyFont="1" applyBorder="1"/>
    <xf numFmtId="0" fontId="7" fillId="12" borderId="0" xfId="0" applyFont="1" applyFill="1" applyAlignment="1">
      <alignment horizontal="center" vertical="center"/>
    </xf>
    <xf numFmtId="0" fontId="18" fillId="0" borderId="0" xfId="0" applyFont="1"/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47"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164" formatCode="_-* #,##0.00&quot; €&quot;_-;\-* #,##0.00&quot; €&quot;_-;_-* \-??&quot; €&quot;_-;_-@_-"/>
      <fill>
        <patternFill patternType="none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164" formatCode="_-* #,##0.00&quot; €&quot;_-;\-* #,##0.00&quot; €&quot;_-;_-* \-??&quot; €&quot;_-;_-@_-"/>
      <fill>
        <patternFill patternType="none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164" formatCode="_-* #,##0.00&quot; €&quot;_-;\-* #,##0.00&quot; €&quot;_-;_-* \-??&quot; €&quot;_-;_-@_-"/>
      <fill>
        <patternFill patternType="none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164" formatCode="_-* #,##0.00&quot; €&quot;_-;\-* #,##0.00&quot; €&quot;_-;_-* \-??&quot; €&quot;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164" formatCode="_-* #,##0.00&quot; €&quot;_-;\-* #,##0.00&quot; €&quot;_-;_-* \-??&quot; €&quot;_-;_-@_-"/>
      <fill>
        <patternFill patternType="none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164" formatCode="_-* #,##0.00&quot; €&quot;_-;\-* #,##0.00&quot; €&quot;_-;_-* \-??&quot; €&quot;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164" formatCode="_-* #,##0.00&quot; €&quot;_-;\-* #,##0.00&quot; €&quot;_-;_-* \-??&quot; €&quot;_-;_-@_-"/>
      <fill>
        <patternFill patternType="none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164" formatCode="_-* #,##0.00&quot; €&quot;_-;\-* #,##0.00&quot; €&quot;_-;_-* \-??&quot; €&quot;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164" formatCode="_-* #,##0.00&quot; €&quot;_-;\-* #,##0.00&quot; €&quot;_-;_-* \-??&quot; €&quot;_-;_-@_-"/>
      <fill>
        <patternFill patternType="none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164" formatCode="_-* #,##0.00&quot; €&quot;_-;\-* #,##0.00&quot; €&quot;_-;_-* \-??&quot; €&quot;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164" formatCode="_-* #,##0.00&quot; €&quot;_-;\-* #,##0.00&quot; €&quot;_-;_-* \-??&quot; €&quot;_-;_-@_-"/>
      <fill>
        <patternFill patternType="none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fill>
        <patternFill patternType="none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fill>
        <patternFill patternType="none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fill>
        <patternFill patternType="none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30" formatCode="@"/>
      <fill>
        <patternFill patternType="none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ill>
        <patternFill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charset val="1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charset val="1"/>
        <scheme val="none"/>
      </font>
      <numFmt numFmtId="3" formatCode="#,##0"/>
      <fill>
        <patternFill>
          <fgColor indexed="64"/>
          <bgColor theme="8" tint="0.79998168889431442"/>
        </patternFill>
      </fill>
      <border diagonalUp="0" diagonalDown="0" outline="0">
        <left/>
        <right/>
        <top style="thin">
          <color theme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charset val="1"/>
        <scheme val="none"/>
      </font>
      <fill>
        <patternFill patternType="solid">
          <fgColor indexed="64"/>
          <bgColor theme="8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charset val="1"/>
        <scheme val="none"/>
      </font>
      <numFmt numFmtId="4" formatCode="#,##0.00"/>
      <border diagonalUp="0" diagonalDown="0" outline="0">
        <left/>
        <right/>
        <top style="thin">
          <color theme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charset val="1"/>
        <scheme val="none"/>
      </font>
      <fill>
        <patternFill patternType="solid">
          <fgColor indexed="64"/>
          <bgColor theme="8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charset val="1"/>
        <scheme val="none"/>
      </font>
      <numFmt numFmtId="4" formatCode="#,##0.00"/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charset val="1"/>
        <scheme val="none"/>
      </font>
      <fill>
        <patternFill patternType="solid">
          <fgColor indexed="64"/>
          <bgColor theme="8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charset val="1"/>
        <scheme val="none"/>
      </font>
      <numFmt numFmtId="4" formatCode="#,##0.00"/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charset val="1"/>
        <scheme val="none"/>
      </font>
      <fill>
        <patternFill patternType="solid">
          <fgColor indexed="64"/>
          <bgColor theme="8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charset val="1"/>
        <scheme val="none"/>
      </font>
      <numFmt numFmtId="4" formatCode="#,##0.00"/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charset val="1"/>
        <scheme val="none"/>
      </font>
      <numFmt numFmtId="164" formatCode="_-* #,##0.00&quot; €&quot;_-;\-* #,##0.00&quot; €&quot;_-;_-* \-??&quot; €&quot;_-;_-@_-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charset val="1"/>
        <scheme val="none"/>
      </font>
      <numFmt numFmtId="164" formatCode="_-* #,##0.00&quot; €&quot;_-;\-* #,##0.00&quot; €&quot;_-;_-* \-??&quot; €&quot;_-;_-@_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charset val="1"/>
        <scheme val="none"/>
      </font>
      <fill>
        <patternFill patternType="solid">
          <fgColor indexed="64"/>
          <bgColor theme="8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charset val="1"/>
        <scheme val="none"/>
      </font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charset val="1"/>
        <scheme val="none"/>
      </font>
      <fill>
        <patternFill patternType="solid">
          <fgColor indexed="64"/>
          <bgColor theme="8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charset val="1"/>
        <scheme val="none"/>
      </font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charset val="1"/>
        <scheme val="none"/>
      </font>
      <fill>
        <patternFill patternType="solid">
          <fgColor indexed="64"/>
          <bgColor theme="8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charset val="1"/>
        <scheme val="none"/>
      </font>
      <border diagonalUp="0" diagonalDown="0" outline="0">
        <left/>
        <right/>
        <top style="thin">
          <color theme="8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charset val="1"/>
        <scheme val="none"/>
      </font>
      <numFmt numFmtId="30" formatCode="@"/>
      <fill>
        <patternFill patternType="solid">
          <fgColor indexed="64"/>
          <bgColor theme="8" tint="0.79998168889431442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charset val="1"/>
        <scheme val="none"/>
      </font>
      <numFmt numFmtId="30" formatCode="@"/>
      <border diagonalUp="0" diagonalDown="0" outline="0">
        <left/>
        <right/>
        <top style="thin">
          <color theme="8"/>
        </top>
        <bottom/>
      </border>
    </dxf>
    <dxf>
      <fill>
        <patternFill>
          <fgColor indexed="64"/>
          <bgColor theme="8" tint="0.79998168889431442"/>
        </patternFill>
      </fill>
    </dxf>
    <dxf>
      <border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charset val="1"/>
        <scheme val="none"/>
      </font>
      <fill>
        <patternFill patternType="solid">
          <fgColor theme="8"/>
          <bgColor theme="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8CCE4"/>
      <rgbColor rgb="FF808080"/>
      <rgbColor rgb="FF9999FF"/>
      <rgbColor rgb="FF993366"/>
      <rgbColor rgb="FFFFF2CC"/>
      <rgbColor rgb="FFDAF2F4"/>
      <rgbColor rgb="FF660066"/>
      <rgbColor rgb="FFFF8080"/>
      <rgbColor rgb="FF0066CC"/>
      <rgbColor rgb="FFB3C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D3F1DB"/>
      <rgbColor rgb="FFFBD9D7"/>
      <rgbColor rgb="FFD6E4F0"/>
      <rgbColor rgb="FFFF99CC"/>
      <rgbColor rgb="FFCC99FF"/>
      <rgbColor rgb="FFFDE49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98FF65C-6E5A-46A2-B9C4-B4E002DCEBD1}" name="Table5" displayName="Table5" ref="A3:J28" totalsRowCount="1" headerRowDxfId="46" totalsRowDxfId="44" tableBorderDxfId="45">
  <autoFilter ref="A3:J27" xr:uid="{898FF65C-6E5A-46A2-B9C4-B4E002DCEBD1}"/>
  <tableColumns count="10">
    <tableColumn id="1" xr3:uid="{551BEEC3-ED79-4A05-81E9-9C010ECD0F4F}" name="Nominativo / Risorsa" totalsRowLabel="Total" dataDxfId="43" totalsRowDxfId="42"/>
    <tableColumn id="2" xr3:uid="{4F44411F-70CB-464D-9CBB-790B62F8D83E}" name="CF" dataDxfId="41" totalsRowDxfId="40"/>
    <tableColumn id="3" xr3:uid="{48445A87-0E18-4770-970F-DAC613959C3C}" name="Ruolo" dataDxfId="39" totalsRowDxfId="38"/>
    <tableColumn id="4" xr3:uid="{94BE551E-44F1-4939-B06C-82F3C8339B5D}" name="Fascia di Livello" dataDxfId="37" totalsRowDxfId="36"/>
    <tableColumn id="5" xr3:uid="{9B3AE956-42C8-4BD0-A0AB-7436D9B2C591}" name="Costo Orario (€/h)" totalsRowFunction="average" dataDxfId="35" totalsRowDxfId="34">
      <calculatedColumnFormula>_xlfn.IFNA(INDEX($Q$5:$R$7,MATCH(D4,$L$5:$L$7,0),MATCH($B$1,$Q$4:$R$4,0)),0)</calculatedColumnFormula>
    </tableColumn>
    <tableColumn id="6" xr3:uid="{005B533F-1776-4820-A42B-6905ED4667E6}" name="Ore Anno 1" totalsRowFunction="sum" dataDxfId="33" totalsRowDxfId="32">
      <calculatedColumnFormula>SUMIFS('Ore-Mese'!$D:$D,'Ore-Mese'!$A:$A,Generale!$A4,'Ore-Mese'!$B:$B,VALUE(RIGHT(Generale!F$3,1)))</calculatedColumnFormula>
    </tableColumn>
    <tableColumn id="7" xr3:uid="{72A82704-75F0-4975-955E-01766FE88C3B}" name="Ore Anno 2" totalsRowFunction="sum" dataDxfId="31" totalsRowDxfId="30">
      <calculatedColumnFormula>SUMIFS('Ore-Mese'!$D:$D,'Ore-Mese'!$A:$A,Generale!$A4,'Ore-Mese'!$B:$B,VALUE(RIGHT(Generale!G$3,1)))</calculatedColumnFormula>
    </tableColumn>
    <tableColumn id="8" xr3:uid="{F3FB3389-A259-44BD-9F9D-432F1F9CD6C0}" name="Ore Anno 3" totalsRowFunction="sum" dataDxfId="29" totalsRowDxfId="28">
      <calculatedColumnFormula>SUMIFS('Ore-Mese'!$D:$D,'Ore-Mese'!$A:$A,Generale!$A4,'Ore-Mese'!$B:$B,VALUE(RIGHT(Generale!H$3,1)))</calculatedColumnFormula>
    </tableColumn>
    <tableColumn id="9" xr3:uid="{AD3FC5CF-6DC1-4472-A362-427191DAAB4D}" name="Ore Anno 4" totalsRowFunction="sum" dataDxfId="27" totalsRowDxfId="26">
      <calculatedColumnFormula>SUMIFS('Ore-Mese'!$D:$D,'Ore-Mese'!$A:$A,Generale!$A4,'Ore-Mese'!$B:$B,VALUE(RIGHT(Generale!I$3,1)))</calculatedColumnFormula>
    </tableColumn>
    <tableColumn id="10" xr3:uid="{71CB9D6F-83F7-43D2-8716-B128E0C5A80B}" name="Totale Ore" totalsRowFunction="sum" dataDxfId="25" totalsRowDxfId="24">
      <calculatedColumnFormula>SUM(F4:I4)</calculatedColumnFormula>
    </tableColumn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07DCE4A-4252-48D6-B22B-65116B61734F}" name="Table6" displayName="Table6" ref="A31:J55" totalsRowCount="1" headerRowDxfId="23" dataDxfId="22" totalsRowDxfId="21">
  <autoFilter ref="A31:J54" xr:uid="{D07DCE4A-4252-48D6-B22B-65116B61734F}"/>
  <tableColumns count="10">
    <tableColumn id="1" xr3:uid="{45D51CA6-552B-401F-8151-E4995903B15A}" name="Nominativo / Risorsa" totalsRowLabel="Total" dataDxfId="20" totalsRowDxfId="19"/>
    <tableColumn id="2" xr3:uid="{57CDA00D-E594-41AE-896A-BC2EFD76CEBC}" name="Column1" dataDxfId="18" totalsRowDxfId="17"/>
    <tableColumn id="3" xr3:uid="{54F47772-FA5E-47BC-8038-FCDAA9B67927}" name="Ruolo" dataDxfId="16" totalsRowDxfId="15"/>
    <tableColumn id="4" xr3:uid="{04422E01-CCAB-4BC7-9E0D-6902BC25AEE3}" name="Fascia di Livello" dataDxfId="14" totalsRowDxfId="13"/>
    <tableColumn id="5" xr3:uid="{27299A04-80EE-43FF-99F0-AD64AE4F45C2}" name="Costo Orario (€/h)" totalsRowFunction="average" dataDxfId="12" totalsRowDxfId="11">
      <calculatedColumnFormula>E4</calculatedColumnFormula>
    </tableColumn>
    <tableColumn id="6" xr3:uid="{0F4C7FB3-762A-4C85-8425-8424C8B9EC21}" name="Anno 1" totalsRowFunction="sum" dataDxfId="10" totalsRowDxfId="9">
      <calculatedColumnFormula>F4*$E4</calculatedColumnFormula>
    </tableColumn>
    <tableColumn id="7" xr3:uid="{895A8EF5-1FE8-4947-8540-401515CC7FBF}" name="Anno 2" totalsRowFunction="sum" dataDxfId="8" totalsRowDxfId="7">
      <calculatedColumnFormula>G4*$E4</calculatedColumnFormula>
    </tableColumn>
    <tableColumn id="8" xr3:uid="{BFA7AFD3-64BC-4E07-BBAE-A8485A549C4A}" name="Anno 3" totalsRowFunction="sum" dataDxfId="6" totalsRowDxfId="5">
      <calculatedColumnFormula>H4*$E4</calculatedColumnFormula>
    </tableColumn>
    <tableColumn id="9" xr3:uid="{02E59350-E174-4739-AC63-245651E7BB38}" name="Anno 4" totalsRowFunction="sum" dataDxfId="4" totalsRowDxfId="3">
      <calculatedColumnFormula>I4*$E4</calculatedColumnFormula>
    </tableColumn>
    <tableColumn id="10" xr3:uid="{45FBF706-0BAE-4890-9399-A46DE71E03D3}" name="Totale €" totalsRowFunction="sum" dataDxfId="2" totalsRowDxfId="1">
      <calculatedColumnFormula>SUM(F32:I32)</calculatedColumnFormula>
    </tableColumn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A4F2BE5-68BE-4F5F-85C3-9C70FB0E6BA4}" name="Table7" displayName="Table7" ref="L3:R7" totalsRowShown="0" headerRowDxfId="0">
  <autoFilter ref="L3:R7" xr:uid="{3A4F2BE5-68BE-4F5F-85C3-9C70FB0E6BA4}"/>
  <tableColumns count="7">
    <tableColumn id="1" xr3:uid="{93E5DCA3-D478-45F5-9829-715E54512D61}" name="Fascia di livello"/>
    <tableColumn id="2" xr3:uid="{FA911A6D-C256-4FA6-8021-88E264A784B7}" name="IMP"/>
    <tableColumn id="3" xr3:uid="{AB23F79B-5390-45E7-A664-B7EC51DA28B3}" name="IMP-24"/>
    <tableColumn id="4" xr3:uid="{CC45811E-2E9D-4874-95BE-4C371DEA1267}" name="UNI"/>
    <tableColumn id="5" xr3:uid="{7A936290-792B-4B10-B955-499AE1081692}" name="UNI-24"/>
    <tableColumn id="6" xr3:uid="{6638C874-7320-4A07-9DCD-342495D83DC2}" name="EPR"/>
    <tableColumn id="7" xr3:uid="{6D7647A6-8A32-4C4E-AC4E-993098EF3ADE}" name="EPR-24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71"/>
  <sheetViews>
    <sheetView tabSelected="1" zoomScale="70" zoomScaleNormal="70" workbookViewId="0">
      <selection activeCell="C48" sqref="C48"/>
    </sheetView>
  </sheetViews>
  <sheetFormatPr defaultColWidth="12.7109375" defaultRowHeight="12.75" x14ac:dyDescent="0.2"/>
  <cols>
    <col min="1" max="1" width="30.5703125" style="84" bestFit="1" customWidth="1"/>
    <col min="2" max="2" width="31" bestFit="1" customWidth="1"/>
    <col min="3" max="3" width="18.85546875" bestFit="1" customWidth="1"/>
    <col min="4" max="4" width="24.42578125" customWidth="1"/>
    <col min="5" max="5" width="26.5703125" customWidth="1"/>
    <col min="6" max="9" width="19.5703125" bestFit="1" customWidth="1"/>
    <col min="10" max="10" width="22" bestFit="1" customWidth="1"/>
    <col min="11" max="11" width="19.28515625" customWidth="1"/>
    <col min="12" max="12" width="28.5703125" bestFit="1" customWidth="1"/>
    <col min="13" max="13" width="6.7109375" bestFit="1" customWidth="1"/>
    <col min="14" max="14" width="9.28515625" bestFit="1" customWidth="1"/>
    <col min="15" max="15" width="6.42578125" bestFit="1" customWidth="1"/>
    <col min="16" max="16" width="9" bestFit="1" customWidth="1"/>
    <col min="17" max="17" width="7" bestFit="1" customWidth="1"/>
    <col min="18" max="18" width="9.5703125" bestFit="1" customWidth="1"/>
  </cols>
  <sheetData>
    <row r="1" spans="1:18" ht="18" x14ac:dyDescent="0.25">
      <c r="A1" s="68" t="s">
        <v>70</v>
      </c>
      <c r="B1" s="44">
        <v>2016</v>
      </c>
    </row>
    <row r="2" spans="1:18" ht="15.75" customHeight="1" x14ac:dyDescent="0.25">
      <c r="A2" s="69"/>
      <c r="B2" s="1"/>
      <c r="C2" s="1"/>
      <c r="D2" s="1"/>
      <c r="E2" s="1"/>
      <c r="F2" s="1"/>
      <c r="G2" s="1"/>
      <c r="H2" s="1"/>
      <c r="I2" s="1"/>
      <c r="J2" s="1"/>
      <c r="K2" s="1"/>
      <c r="L2" s="2"/>
    </row>
    <row r="3" spans="1:18" ht="18" customHeight="1" x14ac:dyDescent="0.25">
      <c r="A3" s="70" t="s">
        <v>0</v>
      </c>
      <c r="B3" s="30" t="s">
        <v>1</v>
      </c>
      <c r="C3" s="30" t="s">
        <v>2</v>
      </c>
      <c r="D3" s="30" t="s">
        <v>71</v>
      </c>
      <c r="E3" s="30" t="s">
        <v>3</v>
      </c>
      <c r="F3" s="30" t="s">
        <v>4</v>
      </c>
      <c r="G3" s="30" t="s">
        <v>5</v>
      </c>
      <c r="H3" s="30" t="s">
        <v>6</v>
      </c>
      <c r="I3" s="30" t="s">
        <v>7</v>
      </c>
      <c r="J3" s="30" t="s">
        <v>8</v>
      </c>
      <c r="K3" s="1"/>
      <c r="L3" s="2" t="s">
        <v>68</v>
      </c>
      <c r="M3" s="103" t="s">
        <v>86</v>
      </c>
      <c r="N3" s="103" t="s">
        <v>87</v>
      </c>
      <c r="O3" s="103" t="s">
        <v>85</v>
      </c>
      <c r="P3" s="103" t="s">
        <v>88</v>
      </c>
      <c r="Q3" t="s">
        <v>67</v>
      </c>
      <c r="R3" s="103" t="s">
        <v>89</v>
      </c>
    </row>
    <row r="4" spans="1:18" ht="18" customHeight="1" x14ac:dyDescent="0.25">
      <c r="A4" s="71" t="s">
        <v>9</v>
      </c>
      <c r="B4" s="27" t="s">
        <v>10</v>
      </c>
      <c r="C4" s="27" t="s">
        <v>11</v>
      </c>
      <c r="D4" s="27" t="s">
        <v>66</v>
      </c>
      <c r="E4" s="28">
        <f t="shared" ref="E4:E27" si="0">_xlfn.IFNA(INDEX($Q$5:$R$7,MATCH(D4,$L$5:$L$7,0),MATCH($B$1,$Q$4:$R$4,0)),0)</f>
        <v>29</v>
      </c>
      <c r="F4" s="87">
        <f>SUMIFS('Ore-Mese'!$D:$D,'Ore-Mese'!$A:$A,Generale!$A4,'Ore-Mese'!$B:$B,VALUE(RIGHT(Generale!F$3,1)))</f>
        <v>158.40000000000003</v>
      </c>
      <c r="G4" s="87">
        <f>SUMIFS('Ore-Mese'!$D:$D,'Ore-Mese'!$A:$A,Generale!$A4,'Ore-Mese'!$B:$B,VALUE(RIGHT(Generale!G$3,1)))</f>
        <v>89.09999999999998</v>
      </c>
      <c r="H4" s="87">
        <f>SUMIFS('Ore-Mese'!$D:$D,'Ore-Mese'!$A:$A,Generale!$A4,'Ore-Mese'!$B:$B,VALUE(RIGHT(Generale!H$3,1)))</f>
        <v>89.09999999999998</v>
      </c>
      <c r="I4" s="87">
        <f>SUMIFS('Ore-Mese'!$D:$D,'Ore-Mese'!$A:$A,Generale!$A4,'Ore-Mese'!$B:$B,VALUE(RIGHT(Generale!I$3,1)))</f>
        <v>158.40000000000003</v>
      </c>
      <c r="J4" s="93">
        <f>SUM(F4:I4)</f>
        <v>495</v>
      </c>
      <c r="K4" s="1"/>
      <c r="L4" s="2" t="s">
        <v>78</v>
      </c>
      <c r="M4" s="24">
        <v>2016</v>
      </c>
      <c r="N4" s="24">
        <v>2024</v>
      </c>
      <c r="O4" s="24">
        <v>2016</v>
      </c>
      <c r="P4" s="24">
        <v>2024</v>
      </c>
      <c r="Q4" s="24">
        <v>2016</v>
      </c>
      <c r="R4" s="24">
        <v>2024</v>
      </c>
    </row>
    <row r="5" spans="1:18" ht="18" customHeight="1" x14ac:dyDescent="0.25">
      <c r="A5" s="71" t="s">
        <v>12</v>
      </c>
      <c r="B5" s="27" t="s">
        <v>13</v>
      </c>
      <c r="C5" s="27" t="s">
        <v>11</v>
      </c>
      <c r="D5" s="27" t="s">
        <v>66</v>
      </c>
      <c r="E5" s="28">
        <f t="shared" si="0"/>
        <v>29</v>
      </c>
      <c r="F5" s="87">
        <f>SUMIFS('Ore-Mese'!$D:$D,'Ore-Mese'!$A:$A,Generale!$A5,'Ore-Mese'!$B:$B,VALUE(RIGHT(Generale!F$3,1)))</f>
        <v>158.40000000000003</v>
      </c>
      <c r="G5" s="87">
        <f>SUMIFS('Ore-Mese'!$D:$D,'Ore-Mese'!$A:$A,Generale!$A5,'Ore-Mese'!$B:$B,VALUE(RIGHT(Generale!G$3,1)))</f>
        <v>89.09999999999998</v>
      </c>
      <c r="H5" s="87">
        <f>SUMIFS('Ore-Mese'!$D:$D,'Ore-Mese'!$A:$A,Generale!$A5,'Ore-Mese'!$B:$B,VALUE(RIGHT(Generale!H$3,1)))</f>
        <v>89.09999999999998</v>
      </c>
      <c r="I5" s="87">
        <f>SUMIFS('Ore-Mese'!$D:$D,'Ore-Mese'!$A:$A,Generale!$A5,'Ore-Mese'!$B:$B,VALUE(RIGHT(Generale!I$3,1)))</f>
        <v>158.40000000000003</v>
      </c>
      <c r="J5" s="93">
        <f t="shared" ref="J5:J27" si="1">SUM(F5:I5)</f>
        <v>495</v>
      </c>
      <c r="K5" s="1"/>
      <c r="L5" s="2" t="s">
        <v>64</v>
      </c>
      <c r="M5">
        <v>75</v>
      </c>
      <c r="N5">
        <v>83</v>
      </c>
      <c r="O5">
        <v>73</v>
      </c>
      <c r="P5">
        <v>81</v>
      </c>
      <c r="Q5">
        <v>55</v>
      </c>
      <c r="R5">
        <v>61</v>
      </c>
    </row>
    <row r="6" spans="1:18" ht="18" customHeight="1" x14ac:dyDescent="0.25">
      <c r="A6" s="71" t="s">
        <v>14</v>
      </c>
      <c r="B6" s="27" t="s">
        <v>15</v>
      </c>
      <c r="C6" s="27" t="s">
        <v>16</v>
      </c>
      <c r="D6" s="27" t="s">
        <v>64</v>
      </c>
      <c r="E6" s="28">
        <f t="shared" si="0"/>
        <v>55</v>
      </c>
      <c r="F6" s="87">
        <f>SUMIFS('Ore-Mese'!$D:$D,'Ore-Mese'!$A:$A,Generale!$A6,'Ore-Mese'!$B:$B,VALUE(RIGHT(Generale!F$3,1)))</f>
        <v>550</v>
      </c>
      <c r="G6" s="87">
        <f>SUMIFS('Ore-Mese'!$D:$D,'Ore-Mese'!$A:$A,Generale!$A6,'Ore-Mese'!$B:$B,VALUE(RIGHT(Generale!G$3,1)))</f>
        <v>132</v>
      </c>
      <c r="H6" s="87">
        <f>SUMIFS('Ore-Mese'!$D:$D,'Ore-Mese'!$A:$A,Generale!$A6,'Ore-Mese'!$B:$B,VALUE(RIGHT(Generale!H$3,1)))</f>
        <v>0</v>
      </c>
      <c r="I6" s="87">
        <f>SUMIFS('Ore-Mese'!$D:$D,'Ore-Mese'!$A:$A,Generale!$A6,'Ore-Mese'!$B:$B,VALUE(RIGHT(Generale!I$3,1)))</f>
        <v>0</v>
      </c>
      <c r="J6" s="93">
        <f t="shared" si="1"/>
        <v>682</v>
      </c>
      <c r="K6" s="1"/>
      <c r="L6" s="2" t="s">
        <v>65</v>
      </c>
      <c r="M6">
        <v>43</v>
      </c>
      <c r="N6">
        <v>47</v>
      </c>
      <c r="O6">
        <v>48</v>
      </c>
      <c r="P6">
        <v>53</v>
      </c>
      <c r="Q6">
        <v>33</v>
      </c>
      <c r="R6">
        <v>36</v>
      </c>
    </row>
    <row r="7" spans="1:18" ht="18" customHeight="1" x14ac:dyDescent="0.25">
      <c r="A7" s="71" t="s">
        <v>17</v>
      </c>
      <c r="B7" s="27" t="s">
        <v>18</v>
      </c>
      <c r="C7" s="27" t="s">
        <v>19</v>
      </c>
      <c r="D7" s="27" t="s">
        <v>65</v>
      </c>
      <c r="E7" s="28">
        <f t="shared" si="0"/>
        <v>33</v>
      </c>
      <c r="F7" s="87">
        <f>SUMIFS('Ore-Mese'!$D:$D,'Ore-Mese'!$A:$A,Generale!$A7,'Ore-Mese'!$B:$B,VALUE(RIGHT(Generale!F$3,1)))</f>
        <v>126.5</v>
      </c>
      <c r="G7" s="87">
        <f>SUMIFS('Ore-Mese'!$D:$D,'Ore-Mese'!$A:$A,Generale!$A7,'Ore-Mese'!$B:$B,VALUE(RIGHT(Generale!G$3,1)))</f>
        <v>0</v>
      </c>
      <c r="H7" s="87">
        <f>SUMIFS('Ore-Mese'!$D:$D,'Ore-Mese'!$A:$A,Generale!$A7,'Ore-Mese'!$B:$B,VALUE(RIGHT(Generale!H$3,1)))</f>
        <v>0</v>
      </c>
      <c r="I7" s="87">
        <f>SUMIFS('Ore-Mese'!$D:$D,'Ore-Mese'!$A:$A,Generale!$A7,'Ore-Mese'!$B:$B,VALUE(RIGHT(Generale!I$3,1)))</f>
        <v>0</v>
      </c>
      <c r="J7" s="93">
        <f t="shared" si="1"/>
        <v>126.5</v>
      </c>
      <c r="K7" s="1"/>
      <c r="L7" t="s">
        <v>66</v>
      </c>
      <c r="M7">
        <v>27</v>
      </c>
      <c r="N7">
        <v>30</v>
      </c>
      <c r="O7">
        <v>31</v>
      </c>
      <c r="P7">
        <v>34</v>
      </c>
      <c r="Q7">
        <v>29</v>
      </c>
      <c r="R7">
        <v>32</v>
      </c>
    </row>
    <row r="8" spans="1:18" ht="18" customHeight="1" x14ac:dyDescent="0.25">
      <c r="A8" s="71" t="s">
        <v>20</v>
      </c>
      <c r="B8" s="27" t="s">
        <v>21</v>
      </c>
      <c r="C8" s="27" t="s">
        <v>11</v>
      </c>
      <c r="D8" s="27" t="s">
        <v>66</v>
      </c>
      <c r="E8" s="28">
        <f t="shared" si="0"/>
        <v>29</v>
      </c>
      <c r="F8" s="87">
        <f>SUMIFS('Ore-Mese'!$D:$D,'Ore-Mese'!$A:$A,Generale!$A8,'Ore-Mese'!$B:$B,VALUE(RIGHT(Generale!F$3,1)))</f>
        <v>158.40000000000003</v>
      </c>
      <c r="G8" s="87">
        <f>SUMIFS('Ore-Mese'!$D:$D,'Ore-Mese'!$A:$A,Generale!$A8,'Ore-Mese'!$B:$B,VALUE(RIGHT(Generale!G$3,1)))</f>
        <v>158.40000000000003</v>
      </c>
      <c r="H8" s="87">
        <f>SUMIFS('Ore-Mese'!$D:$D,'Ore-Mese'!$A:$A,Generale!$A8,'Ore-Mese'!$B:$B,VALUE(RIGHT(Generale!H$3,1)))</f>
        <v>113.29999999999998</v>
      </c>
      <c r="I8" s="87">
        <f>SUMIFS('Ore-Mese'!$D:$D,'Ore-Mese'!$A:$A,Generale!$A8,'Ore-Mese'!$B:$B,VALUE(RIGHT(Generale!I$3,1)))</f>
        <v>89.09999999999998</v>
      </c>
      <c r="J8" s="93">
        <f t="shared" si="1"/>
        <v>519.20000000000005</v>
      </c>
      <c r="K8" s="1"/>
    </row>
    <row r="9" spans="1:18" ht="18" customHeight="1" x14ac:dyDescent="0.25">
      <c r="A9" s="71" t="s">
        <v>22</v>
      </c>
      <c r="B9" s="27" t="s">
        <v>23</v>
      </c>
      <c r="C9" s="27" t="s">
        <v>24</v>
      </c>
      <c r="D9" s="27" t="s">
        <v>64</v>
      </c>
      <c r="E9" s="28">
        <f t="shared" si="0"/>
        <v>55</v>
      </c>
      <c r="F9" s="87">
        <f>SUMIFS('Ore-Mese'!$D:$D,'Ore-Mese'!$A:$A,Generale!$A9,'Ore-Mese'!$B:$B,VALUE(RIGHT(Generale!F$3,1)))</f>
        <v>599.5</v>
      </c>
      <c r="G9" s="87">
        <f>SUMIFS('Ore-Mese'!$D:$D,'Ore-Mese'!$A:$A,Generale!$A9,'Ore-Mese'!$B:$B,VALUE(RIGHT(Generale!G$3,1)))</f>
        <v>599.5</v>
      </c>
      <c r="H9" s="87">
        <f>SUMIFS('Ore-Mese'!$D:$D,'Ore-Mese'!$A:$A,Generale!$A9,'Ore-Mese'!$B:$B,VALUE(RIGHT(Generale!H$3,1)))</f>
        <v>430.10000000000008</v>
      </c>
      <c r="I9" s="87">
        <f>SUMIFS('Ore-Mese'!$D:$D,'Ore-Mese'!$A:$A,Generale!$A9,'Ore-Mese'!$B:$B,VALUE(RIGHT(Generale!I$3,1)))</f>
        <v>338.80000000000007</v>
      </c>
      <c r="J9" s="93">
        <f t="shared" si="1"/>
        <v>1967.9</v>
      </c>
      <c r="K9" s="1"/>
    </row>
    <row r="10" spans="1:18" ht="18" customHeight="1" x14ac:dyDescent="0.25">
      <c r="A10" s="88" t="s">
        <v>25</v>
      </c>
      <c r="B10" s="89" t="s">
        <v>26</v>
      </c>
      <c r="C10" s="90" t="s">
        <v>27</v>
      </c>
      <c r="D10" s="90" t="s">
        <v>64</v>
      </c>
      <c r="E10" s="91">
        <f t="shared" si="0"/>
        <v>55</v>
      </c>
      <c r="F10" s="92">
        <f>SUMIFS('Ore-Mese'!$D:$D,'Ore-Mese'!$A:$A,Generale!$A10,'Ore-Mese'!$B:$B,VALUE(RIGHT(Generale!F$3,1)))</f>
        <v>1386</v>
      </c>
      <c r="G10" s="92">
        <f>SUMIFS('Ore-Mese'!$D:$D,'Ore-Mese'!$A:$A,Generale!$A10,'Ore-Mese'!$B:$B,VALUE(RIGHT(Generale!G$3,1)))</f>
        <v>1386</v>
      </c>
      <c r="H10" s="92">
        <f>SUMIFS('Ore-Mese'!$D:$D,'Ore-Mese'!$A:$A,Generale!$A10,'Ore-Mese'!$B:$B,VALUE(RIGHT(Generale!H$3,1)))</f>
        <v>1104.3999999999999</v>
      </c>
      <c r="I10" s="92">
        <f>SUMIFS('Ore-Mese'!$D:$D,'Ore-Mese'!$A:$A,Generale!$A10,'Ore-Mese'!$B:$B,VALUE(RIGHT(Generale!I$3,1)))</f>
        <v>660</v>
      </c>
      <c r="J10" s="93">
        <f t="shared" si="1"/>
        <v>4536.3999999999996</v>
      </c>
      <c r="K10" s="1"/>
      <c r="L10" s="2"/>
    </row>
    <row r="11" spans="1:18" ht="18" customHeight="1" x14ac:dyDescent="0.25">
      <c r="A11" s="71" t="s">
        <v>28</v>
      </c>
      <c r="B11" s="27" t="s">
        <v>29</v>
      </c>
      <c r="C11" s="27" t="s">
        <v>30</v>
      </c>
      <c r="D11" s="27" t="s">
        <v>65</v>
      </c>
      <c r="E11" s="28">
        <f t="shared" si="0"/>
        <v>33</v>
      </c>
      <c r="F11" s="87">
        <f>SUMIFS('Ore-Mese'!$D:$D,'Ore-Mese'!$A:$A,Generale!$A11,'Ore-Mese'!$B:$B,VALUE(RIGHT(Generale!F$3,1)))</f>
        <v>126.5</v>
      </c>
      <c r="G11" s="87">
        <f>SUMIFS('Ore-Mese'!$D:$D,'Ore-Mese'!$A:$A,Generale!$A11,'Ore-Mese'!$B:$B,VALUE(RIGHT(Generale!G$3,1)))</f>
        <v>0</v>
      </c>
      <c r="H11" s="87">
        <f>SUMIFS('Ore-Mese'!$D:$D,'Ore-Mese'!$A:$A,Generale!$A11,'Ore-Mese'!$B:$B,VALUE(RIGHT(Generale!H$3,1)))</f>
        <v>0</v>
      </c>
      <c r="I11" s="87">
        <f>SUMIFS('Ore-Mese'!$D:$D,'Ore-Mese'!$A:$A,Generale!$A11,'Ore-Mese'!$B:$B,VALUE(RIGHT(Generale!I$3,1)))</f>
        <v>0</v>
      </c>
      <c r="J11" s="93">
        <f t="shared" si="1"/>
        <v>126.5</v>
      </c>
      <c r="K11" s="1"/>
    </row>
    <row r="12" spans="1:18" ht="18" customHeight="1" x14ac:dyDescent="0.25">
      <c r="A12" s="71" t="s">
        <v>31</v>
      </c>
      <c r="B12" s="27" t="s">
        <v>32</v>
      </c>
      <c r="C12" s="27" t="s">
        <v>11</v>
      </c>
      <c r="D12" s="27" t="s">
        <v>66</v>
      </c>
      <c r="E12" s="28">
        <f t="shared" si="0"/>
        <v>29</v>
      </c>
      <c r="F12" s="87">
        <f>SUMIFS('Ore-Mese'!$D:$D,'Ore-Mese'!$A:$A,Generale!$A12,'Ore-Mese'!$B:$B,VALUE(RIGHT(Generale!F$3,1)))</f>
        <v>158.40000000000003</v>
      </c>
      <c r="G12" s="87">
        <f>SUMIFS('Ore-Mese'!$D:$D,'Ore-Mese'!$A:$A,Generale!$A12,'Ore-Mese'!$B:$B,VALUE(RIGHT(Generale!G$3,1)))</f>
        <v>158.40000000000003</v>
      </c>
      <c r="H12" s="87">
        <f>SUMIFS('Ore-Mese'!$D:$D,'Ore-Mese'!$A:$A,Generale!$A12,'Ore-Mese'!$B:$B,VALUE(RIGHT(Generale!H$3,1)))</f>
        <v>113.29999999999998</v>
      </c>
      <c r="I12" s="87">
        <f>SUMIFS('Ore-Mese'!$D:$D,'Ore-Mese'!$A:$A,Generale!$A12,'Ore-Mese'!$B:$B,VALUE(RIGHT(Generale!I$3,1)))</f>
        <v>89.09999999999998</v>
      </c>
      <c r="J12" s="93">
        <f t="shared" si="1"/>
        <v>519.20000000000005</v>
      </c>
      <c r="K12" s="1"/>
    </row>
    <row r="13" spans="1:18" ht="18" customHeight="1" x14ac:dyDescent="0.25">
      <c r="A13" s="71" t="s">
        <v>33</v>
      </c>
      <c r="B13" s="27" t="s">
        <v>34</v>
      </c>
      <c r="C13" s="27" t="s">
        <v>35</v>
      </c>
      <c r="D13" s="27" t="s">
        <v>65</v>
      </c>
      <c r="E13" s="28">
        <f t="shared" si="0"/>
        <v>33</v>
      </c>
      <c r="F13" s="87">
        <f>SUMIFS('Ore-Mese'!$D:$D,'Ore-Mese'!$A:$A,Generale!$A13,'Ore-Mese'!$B:$B,VALUE(RIGHT(Generale!F$3,1)))</f>
        <v>469.30000000000007</v>
      </c>
      <c r="G13" s="87">
        <f>SUMIFS('Ore-Mese'!$D:$D,'Ore-Mese'!$A:$A,Generale!$A13,'Ore-Mese'!$B:$B,VALUE(RIGHT(Generale!G$3,1)))</f>
        <v>254.09999999999997</v>
      </c>
      <c r="H13" s="87">
        <f>SUMIFS('Ore-Mese'!$D:$D,'Ore-Mese'!$A:$A,Generale!$A13,'Ore-Mese'!$B:$B,VALUE(RIGHT(Generale!H$3,1)))</f>
        <v>181.5</v>
      </c>
      <c r="I13" s="87">
        <f>SUMIFS('Ore-Mese'!$D:$D,'Ore-Mese'!$A:$A,Generale!$A13,'Ore-Mese'!$B:$B,VALUE(RIGHT(Generale!I$3,1)))</f>
        <v>0</v>
      </c>
      <c r="J13" s="93">
        <f t="shared" si="1"/>
        <v>904.90000000000009</v>
      </c>
      <c r="K13" s="1"/>
    </row>
    <row r="14" spans="1:18" ht="18" customHeight="1" x14ac:dyDescent="0.25">
      <c r="A14" s="71" t="s">
        <v>74</v>
      </c>
      <c r="B14" s="27"/>
      <c r="C14" s="27" t="s">
        <v>35</v>
      </c>
      <c r="D14" s="27" t="s">
        <v>65</v>
      </c>
      <c r="E14" s="28">
        <f t="shared" si="0"/>
        <v>33</v>
      </c>
      <c r="F14" s="87">
        <f>SUMIFS('Ore-Mese'!$D:$D,'Ore-Mese'!$A:$A,Generale!$A14,'Ore-Mese'!$B:$B,VALUE(RIGHT(Generale!F$3,1)))</f>
        <v>630</v>
      </c>
      <c r="G14" s="87">
        <f>SUMIFS('Ore-Mese'!$D:$D,'Ore-Mese'!$A:$A,Generale!$A14,'Ore-Mese'!$B:$B,VALUE(RIGHT(Generale!G$3,1)))</f>
        <v>1386</v>
      </c>
      <c r="H14" s="87">
        <f>SUMIFS('Ore-Mese'!$D:$D,'Ore-Mese'!$A:$A,Generale!$A14,'Ore-Mese'!$B:$B,VALUE(RIGHT(Generale!H$3,1)))</f>
        <v>1100</v>
      </c>
      <c r="I14" s="87">
        <f>SUMIFS('Ore-Mese'!$D:$D,'Ore-Mese'!$A:$A,Generale!$A14,'Ore-Mese'!$B:$B,VALUE(RIGHT(Generale!I$3,1)))</f>
        <v>700</v>
      </c>
      <c r="J14" s="93">
        <f t="shared" si="1"/>
        <v>3816</v>
      </c>
      <c r="K14" s="1"/>
    </row>
    <row r="15" spans="1:18" ht="18" customHeight="1" x14ac:dyDescent="0.25">
      <c r="A15" s="71" t="s">
        <v>75</v>
      </c>
      <c r="B15" s="27"/>
      <c r="C15" s="27" t="s">
        <v>35</v>
      </c>
      <c r="D15" s="27" t="s">
        <v>65</v>
      </c>
      <c r="E15" s="28">
        <f t="shared" si="0"/>
        <v>33</v>
      </c>
      <c r="F15" s="87">
        <f>SUMIFS('Ore-Mese'!$D:$D,'Ore-Mese'!$A:$A,Generale!$A15,'Ore-Mese'!$B:$B,VALUE(RIGHT(Generale!F$3,1)))</f>
        <v>0</v>
      </c>
      <c r="G15" s="87">
        <f>SUMIFS('Ore-Mese'!$D:$D,'Ore-Mese'!$A:$A,Generale!$A15,'Ore-Mese'!$B:$B,VALUE(RIGHT(Generale!G$3,1)))</f>
        <v>560</v>
      </c>
      <c r="H15" s="87">
        <f>SUMIFS('Ore-Mese'!$D:$D,'Ore-Mese'!$A:$A,Generale!$A15,'Ore-Mese'!$B:$B,VALUE(RIGHT(Generale!H$3,1)))</f>
        <v>693</v>
      </c>
      <c r="I15" s="87">
        <f>SUMIFS('Ore-Mese'!$D:$D,'Ore-Mese'!$A:$A,Generale!$A15,'Ore-Mese'!$B:$B,VALUE(RIGHT(Generale!I$3,1)))</f>
        <v>990</v>
      </c>
      <c r="J15" s="93">
        <f t="shared" si="1"/>
        <v>2243</v>
      </c>
      <c r="K15" s="1"/>
    </row>
    <row r="16" spans="1:18" ht="18" customHeight="1" x14ac:dyDescent="0.25">
      <c r="A16" s="71" t="s">
        <v>72</v>
      </c>
      <c r="B16" s="27"/>
      <c r="C16" s="27" t="s">
        <v>35</v>
      </c>
      <c r="D16" s="27" t="s">
        <v>65</v>
      </c>
      <c r="E16" s="28">
        <f t="shared" si="0"/>
        <v>33</v>
      </c>
      <c r="F16" s="87">
        <f>SUMIFS('Ore-Mese'!$D:$D,'Ore-Mese'!$A:$A,Generale!$A16,'Ore-Mese'!$B:$B,VALUE(RIGHT(Generale!F$3,1)))</f>
        <v>504</v>
      </c>
      <c r="G16" s="87">
        <f>SUMIFS('Ore-Mese'!$D:$D,'Ore-Mese'!$A:$A,Generale!$A16,'Ore-Mese'!$B:$B,VALUE(RIGHT(Generale!G$3,1)))</f>
        <v>1386</v>
      </c>
      <c r="H16" s="87">
        <f>SUMIFS('Ore-Mese'!$D:$D,'Ore-Mese'!$A:$A,Generale!$A16,'Ore-Mese'!$B:$B,VALUE(RIGHT(Generale!H$3,1)))</f>
        <v>693</v>
      </c>
      <c r="I16" s="87">
        <f>SUMIFS('Ore-Mese'!$D:$D,'Ore-Mese'!$A:$A,Generale!$A16,'Ore-Mese'!$B:$B,VALUE(RIGHT(Generale!I$3,1)))</f>
        <v>693</v>
      </c>
      <c r="J16" s="93">
        <f t="shared" si="1"/>
        <v>3276</v>
      </c>
      <c r="K16" s="1"/>
    </row>
    <row r="17" spans="1:13" ht="18" customHeight="1" x14ac:dyDescent="0.25">
      <c r="A17" s="71" t="s">
        <v>73</v>
      </c>
      <c r="B17" s="27"/>
      <c r="C17" s="27" t="s">
        <v>35</v>
      </c>
      <c r="D17" s="27" t="s">
        <v>65</v>
      </c>
      <c r="E17" s="28">
        <f t="shared" si="0"/>
        <v>33</v>
      </c>
      <c r="F17" s="87">
        <f>SUMIFS('Ore-Mese'!$D:$D,'Ore-Mese'!$A:$A,Generale!$A17,'Ore-Mese'!$B:$B,VALUE(RIGHT(Generale!F$3,1)))</f>
        <v>504</v>
      </c>
      <c r="G17" s="87">
        <f>SUMIFS('Ore-Mese'!$D:$D,'Ore-Mese'!$A:$A,Generale!$A17,'Ore-Mese'!$B:$B,VALUE(RIGHT(Generale!G$3,1)))</f>
        <v>1386</v>
      </c>
      <c r="H17" s="87">
        <f>SUMIFS('Ore-Mese'!$D:$D,'Ore-Mese'!$A:$A,Generale!$A17,'Ore-Mese'!$B:$B,VALUE(RIGHT(Generale!H$3,1)))</f>
        <v>693</v>
      </c>
      <c r="I17" s="87">
        <f>SUMIFS('Ore-Mese'!$D:$D,'Ore-Mese'!$A:$A,Generale!$A17,'Ore-Mese'!$B:$B,VALUE(RIGHT(Generale!I$3,1)))</f>
        <v>693</v>
      </c>
      <c r="J17" s="93">
        <f t="shared" si="1"/>
        <v>3276</v>
      </c>
      <c r="K17" s="1"/>
      <c r="L17" s="2"/>
    </row>
    <row r="18" spans="1:13" ht="18" customHeight="1" x14ac:dyDescent="0.25">
      <c r="A18" s="71" t="s">
        <v>76</v>
      </c>
      <c r="B18" s="27"/>
      <c r="C18" s="27" t="s">
        <v>35</v>
      </c>
      <c r="D18" s="27" t="s">
        <v>65</v>
      </c>
      <c r="E18" s="28">
        <f t="shared" si="0"/>
        <v>33</v>
      </c>
      <c r="F18" s="87">
        <f>SUMIFS('Ore-Mese'!$D:$D,'Ore-Mese'!$A:$A,Generale!$A18,'Ore-Mese'!$B:$B,VALUE(RIGHT(Generale!F$3,1)))</f>
        <v>825</v>
      </c>
      <c r="G18" s="87">
        <f>SUMIFS('Ore-Mese'!$D:$D,'Ore-Mese'!$A:$A,Generale!$A18,'Ore-Mese'!$B:$B,VALUE(RIGHT(Generale!G$3,1)))</f>
        <v>0</v>
      </c>
      <c r="H18" s="87">
        <f>SUMIFS('Ore-Mese'!$D:$D,'Ore-Mese'!$A:$A,Generale!$A18,'Ore-Mese'!$B:$B,VALUE(RIGHT(Generale!H$3,1)))</f>
        <v>0</v>
      </c>
      <c r="I18" s="87">
        <f>SUMIFS('Ore-Mese'!$D:$D,'Ore-Mese'!$A:$A,Generale!$A18,'Ore-Mese'!$B:$B,VALUE(RIGHT(Generale!I$3,1)))</f>
        <v>0</v>
      </c>
      <c r="J18" s="93">
        <f t="shared" si="1"/>
        <v>825</v>
      </c>
      <c r="K18" s="1"/>
      <c r="L18" s="2"/>
    </row>
    <row r="19" spans="1:13" ht="18" customHeight="1" x14ac:dyDescent="0.25">
      <c r="A19" s="71"/>
      <c r="B19" s="27"/>
      <c r="C19" s="27"/>
      <c r="D19" s="27"/>
      <c r="E19" s="28">
        <f t="shared" si="0"/>
        <v>0</v>
      </c>
      <c r="F19" s="87">
        <f>SUMIFS('Ore-Mese'!$D:$D,'Ore-Mese'!$A:$A,Generale!$A19,'Ore-Mese'!$B:$B,VALUE(RIGHT(Generale!F$3,1)))</f>
        <v>0</v>
      </c>
      <c r="G19" s="87">
        <f>SUMIFS('Ore-Mese'!$D:$D,'Ore-Mese'!$A:$A,Generale!$A19,'Ore-Mese'!$B:$B,VALUE(RIGHT(Generale!G$3,1)))</f>
        <v>0</v>
      </c>
      <c r="H19" s="87">
        <f>SUMIFS('Ore-Mese'!$D:$D,'Ore-Mese'!$A:$A,Generale!$A19,'Ore-Mese'!$B:$B,VALUE(RIGHT(Generale!H$3,1)))</f>
        <v>0</v>
      </c>
      <c r="I19" s="87">
        <f>SUMIFS('Ore-Mese'!$D:$D,'Ore-Mese'!$A:$A,Generale!$A19,'Ore-Mese'!$B:$B,VALUE(RIGHT(Generale!I$3,1)))</f>
        <v>0</v>
      </c>
      <c r="J19" s="93">
        <f t="shared" si="1"/>
        <v>0</v>
      </c>
      <c r="K19" s="1"/>
      <c r="L19" s="2"/>
    </row>
    <row r="20" spans="1:13" ht="18" customHeight="1" x14ac:dyDescent="0.25">
      <c r="A20" s="71"/>
      <c r="B20" s="27"/>
      <c r="C20" s="27"/>
      <c r="D20" s="27"/>
      <c r="E20" s="28">
        <f t="shared" si="0"/>
        <v>0</v>
      </c>
      <c r="F20" s="87">
        <f>SUMIFS('Ore-Mese'!$D:$D,'Ore-Mese'!$A:$A,Generale!$A20,'Ore-Mese'!$B:$B,VALUE(RIGHT(Generale!F$3,1)))</f>
        <v>0</v>
      </c>
      <c r="G20" s="87">
        <f>SUMIFS('Ore-Mese'!$D:$D,'Ore-Mese'!$A:$A,Generale!$A20,'Ore-Mese'!$B:$B,VALUE(RIGHT(Generale!G$3,1)))</f>
        <v>0</v>
      </c>
      <c r="H20" s="87">
        <f>SUMIFS('Ore-Mese'!$D:$D,'Ore-Mese'!$A:$A,Generale!$A20,'Ore-Mese'!$B:$B,VALUE(RIGHT(Generale!H$3,1)))</f>
        <v>0</v>
      </c>
      <c r="I20" s="87">
        <f>SUMIFS('Ore-Mese'!$D:$D,'Ore-Mese'!$A:$A,Generale!$A20,'Ore-Mese'!$B:$B,VALUE(RIGHT(Generale!I$3,1)))</f>
        <v>0</v>
      </c>
      <c r="J20" s="93">
        <f t="shared" si="1"/>
        <v>0</v>
      </c>
      <c r="K20" s="1"/>
      <c r="L20" s="2"/>
    </row>
    <row r="21" spans="1:13" ht="18" customHeight="1" x14ac:dyDescent="0.25">
      <c r="A21" s="71"/>
      <c r="B21" s="27"/>
      <c r="C21" s="27"/>
      <c r="D21" s="27"/>
      <c r="E21" s="28">
        <f t="shared" si="0"/>
        <v>0</v>
      </c>
      <c r="F21" s="87">
        <f>SUMIFS('Ore-Mese'!$D:$D,'Ore-Mese'!$A:$A,Generale!$A21,'Ore-Mese'!$B:$B,VALUE(RIGHT(Generale!F$3,1)))</f>
        <v>0</v>
      </c>
      <c r="G21" s="87">
        <f>SUMIFS('Ore-Mese'!$D:$D,'Ore-Mese'!$A:$A,Generale!$A21,'Ore-Mese'!$B:$B,VALUE(RIGHT(Generale!G$3,1)))</f>
        <v>0</v>
      </c>
      <c r="H21" s="87">
        <f>SUMIFS('Ore-Mese'!$D:$D,'Ore-Mese'!$A:$A,Generale!$A21,'Ore-Mese'!$B:$B,VALUE(RIGHT(Generale!H$3,1)))</f>
        <v>0</v>
      </c>
      <c r="I21" s="87">
        <f>SUMIFS('Ore-Mese'!$D:$D,'Ore-Mese'!$A:$A,Generale!$A21,'Ore-Mese'!$B:$B,VALUE(RIGHT(Generale!I$3,1)))</f>
        <v>0</v>
      </c>
      <c r="J21" s="93">
        <f t="shared" si="1"/>
        <v>0</v>
      </c>
      <c r="K21" s="1"/>
      <c r="L21" s="2"/>
    </row>
    <row r="22" spans="1:13" ht="18" customHeight="1" x14ac:dyDescent="0.25">
      <c r="A22" s="71"/>
      <c r="B22" s="27"/>
      <c r="C22" s="27"/>
      <c r="D22" s="27"/>
      <c r="E22" s="28">
        <f t="shared" si="0"/>
        <v>0</v>
      </c>
      <c r="F22" s="87">
        <f>SUMIFS('Ore-Mese'!$D:$D,'Ore-Mese'!$A:$A,Generale!$A22,'Ore-Mese'!$B:$B,VALUE(RIGHT(Generale!F$3,1)))</f>
        <v>0</v>
      </c>
      <c r="G22" s="87">
        <f>SUMIFS('Ore-Mese'!$D:$D,'Ore-Mese'!$A:$A,Generale!$A22,'Ore-Mese'!$B:$B,VALUE(RIGHT(Generale!G$3,1)))</f>
        <v>0</v>
      </c>
      <c r="H22" s="87">
        <f>SUMIFS('Ore-Mese'!$D:$D,'Ore-Mese'!$A:$A,Generale!$A22,'Ore-Mese'!$B:$B,VALUE(RIGHT(Generale!H$3,1)))</f>
        <v>0</v>
      </c>
      <c r="I22" s="87">
        <f>SUMIFS('Ore-Mese'!$D:$D,'Ore-Mese'!$A:$A,Generale!$A22,'Ore-Mese'!$B:$B,VALUE(RIGHT(Generale!I$3,1)))</f>
        <v>0</v>
      </c>
      <c r="J22" s="93">
        <f t="shared" si="1"/>
        <v>0</v>
      </c>
      <c r="K22" s="1"/>
      <c r="L22" s="2"/>
    </row>
    <row r="23" spans="1:13" ht="18" customHeight="1" x14ac:dyDescent="0.25">
      <c r="A23" s="71"/>
      <c r="B23" s="27"/>
      <c r="C23" s="27"/>
      <c r="D23" s="27"/>
      <c r="E23" s="28">
        <f t="shared" si="0"/>
        <v>0</v>
      </c>
      <c r="F23" s="87">
        <f>SUMIFS('Ore-Mese'!$D:$D,'Ore-Mese'!$A:$A,Generale!$A23,'Ore-Mese'!$B:$B,VALUE(RIGHT(Generale!F$3,1)))</f>
        <v>0</v>
      </c>
      <c r="G23" s="87">
        <f>SUMIFS('Ore-Mese'!$D:$D,'Ore-Mese'!$A:$A,Generale!$A23,'Ore-Mese'!$B:$B,VALUE(RIGHT(Generale!G$3,1)))</f>
        <v>0</v>
      </c>
      <c r="H23" s="87">
        <f>SUMIFS('Ore-Mese'!$D:$D,'Ore-Mese'!$A:$A,Generale!$A23,'Ore-Mese'!$B:$B,VALUE(RIGHT(Generale!H$3,1)))</f>
        <v>0</v>
      </c>
      <c r="I23" s="87">
        <f>SUMIFS('Ore-Mese'!$D:$D,'Ore-Mese'!$A:$A,Generale!$A23,'Ore-Mese'!$B:$B,VALUE(RIGHT(Generale!I$3,1)))</f>
        <v>0</v>
      </c>
      <c r="J23" s="93">
        <f t="shared" si="1"/>
        <v>0</v>
      </c>
      <c r="K23" s="1"/>
      <c r="L23" s="2"/>
    </row>
    <row r="24" spans="1:13" ht="18" customHeight="1" x14ac:dyDescent="0.25">
      <c r="A24" s="71"/>
      <c r="B24" s="27"/>
      <c r="C24" s="27"/>
      <c r="D24" s="27"/>
      <c r="E24" s="28">
        <f t="shared" si="0"/>
        <v>0</v>
      </c>
      <c r="F24" s="87">
        <f>SUMIFS('Ore-Mese'!$D:$D,'Ore-Mese'!$A:$A,Generale!$A24,'Ore-Mese'!$B:$B,VALUE(RIGHT(Generale!F$3,1)))</f>
        <v>0</v>
      </c>
      <c r="G24" s="87">
        <f>SUMIFS('Ore-Mese'!$D:$D,'Ore-Mese'!$A:$A,Generale!$A24,'Ore-Mese'!$B:$B,VALUE(RIGHT(Generale!G$3,1)))</f>
        <v>0</v>
      </c>
      <c r="H24" s="87">
        <f>SUMIFS('Ore-Mese'!$D:$D,'Ore-Mese'!$A:$A,Generale!$A24,'Ore-Mese'!$B:$B,VALUE(RIGHT(Generale!H$3,1)))</f>
        <v>0</v>
      </c>
      <c r="I24" s="87">
        <f>SUMIFS('Ore-Mese'!$D:$D,'Ore-Mese'!$A:$A,Generale!$A24,'Ore-Mese'!$B:$B,VALUE(RIGHT(Generale!I$3,1)))</f>
        <v>0</v>
      </c>
      <c r="J24" s="93">
        <f t="shared" si="1"/>
        <v>0</v>
      </c>
      <c r="K24" s="1"/>
      <c r="L24" s="2"/>
    </row>
    <row r="25" spans="1:13" ht="18" customHeight="1" x14ac:dyDescent="0.25">
      <c r="A25" s="71"/>
      <c r="B25" s="27"/>
      <c r="C25" s="27"/>
      <c r="D25" s="27"/>
      <c r="E25" s="28">
        <f t="shared" si="0"/>
        <v>0</v>
      </c>
      <c r="F25" s="87">
        <f>SUMIFS('Ore-Mese'!$D:$D,'Ore-Mese'!$A:$A,Generale!$A25,'Ore-Mese'!$B:$B,VALUE(RIGHT(Generale!F$3,1)))</f>
        <v>0</v>
      </c>
      <c r="G25" s="87">
        <f>SUMIFS('Ore-Mese'!$D:$D,'Ore-Mese'!$A:$A,Generale!$A25,'Ore-Mese'!$B:$B,VALUE(RIGHT(Generale!G$3,1)))</f>
        <v>0</v>
      </c>
      <c r="H25" s="87">
        <f>SUMIFS('Ore-Mese'!$D:$D,'Ore-Mese'!$A:$A,Generale!$A25,'Ore-Mese'!$B:$B,VALUE(RIGHT(Generale!H$3,1)))</f>
        <v>0</v>
      </c>
      <c r="I25" s="87">
        <f>SUMIFS('Ore-Mese'!$D:$D,'Ore-Mese'!$A:$A,Generale!$A25,'Ore-Mese'!$B:$B,VALUE(RIGHT(Generale!I$3,1)))</f>
        <v>0</v>
      </c>
      <c r="J25" s="93">
        <f t="shared" si="1"/>
        <v>0</v>
      </c>
      <c r="K25" s="1"/>
      <c r="L25" s="2"/>
    </row>
    <row r="26" spans="1:13" ht="18" customHeight="1" x14ac:dyDescent="0.25">
      <c r="A26" s="71"/>
      <c r="B26" s="27"/>
      <c r="C26" s="27"/>
      <c r="D26" s="27"/>
      <c r="E26" s="28">
        <f t="shared" si="0"/>
        <v>0</v>
      </c>
      <c r="F26" s="87">
        <f>SUMIFS('Ore-Mese'!$D:$D,'Ore-Mese'!$A:$A,Generale!$A26,'Ore-Mese'!$B:$B,VALUE(RIGHT(Generale!F$3,1)))</f>
        <v>0</v>
      </c>
      <c r="G26" s="87">
        <f>SUMIFS('Ore-Mese'!$D:$D,'Ore-Mese'!$A:$A,Generale!$A26,'Ore-Mese'!$B:$B,VALUE(RIGHT(Generale!G$3,1)))</f>
        <v>0</v>
      </c>
      <c r="H26" s="87">
        <f>SUMIFS('Ore-Mese'!$D:$D,'Ore-Mese'!$A:$A,Generale!$A26,'Ore-Mese'!$B:$B,VALUE(RIGHT(Generale!H$3,1)))</f>
        <v>0</v>
      </c>
      <c r="I26" s="87">
        <f>SUMIFS('Ore-Mese'!$D:$D,'Ore-Mese'!$A:$A,Generale!$A26,'Ore-Mese'!$B:$B,VALUE(RIGHT(Generale!I$3,1)))</f>
        <v>0</v>
      </c>
      <c r="J26" s="93">
        <f t="shared" si="1"/>
        <v>0</v>
      </c>
      <c r="K26" s="1"/>
      <c r="L26" s="2"/>
    </row>
    <row r="27" spans="1:13" ht="18" customHeight="1" x14ac:dyDescent="0.25">
      <c r="A27" s="71"/>
      <c r="B27" s="27"/>
      <c r="C27" s="27"/>
      <c r="D27" s="27"/>
      <c r="E27" s="28">
        <f t="shared" si="0"/>
        <v>0</v>
      </c>
      <c r="F27" s="87">
        <f>SUMIFS('Ore-Mese'!$D:$D,'Ore-Mese'!$A:$A,Generale!$A27,'Ore-Mese'!$B:$B,VALUE(RIGHT(Generale!F$3,1)))</f>
        <v>0</v>
      </c>
      <c r="G27" s="87">
        <f>SUMIFS('Ore-Mese'!$D:$D,'Ore-Mese'!$A:$A,Generale!$A27,'Ore-Mese'!$B:$B,VALUE(RIGHT(Generale!G$3,1)))</f>
        <v>0</v>
      </c>
      <c r="H27" s="87">
        <f>SUMIFS('Ore-Mese'!$D:$D,'Ore-Mese'!$A:$A,Generale!$A27,'Ore-Mese'!$B:$B,VALUE(RIGHT(Generale!H$3,1)))</f>
        <v>0</v>
      </c>
      <c r="I27" s="87">
        <f>SUMIFS('Ore-Mese'!$D:$D,'Ore-Mese'!$A:$A,Generale!$A27,'Ore-Mese'!$B:$B,VALUE(RIGHT(Generale!I$3,1)))</f>
        <v>0</v>
      </c>
      <c r="J27" s="93">
        <f t="shared" si="1"/>
        <v>0</v>
      </c>
      <c r="K27" s="1"/>
      <c r="L27" s="2"/>
    </row>
    <row r="28" spans="1:13" ht="18" customHeight="1" x14ac:dyDescent="0.25">
      <c r="A28" s="95" t="s">
        <v>77</v>
      </c>
      <c r="B28" s="96"/>
      <c r="C28" s="96"/>
      <c r="D28" s="96"/>
      <c r="E28" s="97">
        <f>SUBTOTAL(101,Table5[Costo Orario (€/h)])</f>
        <v>22.708333333333332</v>
      </c>
      <c r="F28" s="96">
        <f>SUBTOTAL(109,Table5[Ore Anno 1])</f>
        <v>6354.4</v>
      </c>
      <c r="G28" s="96">
        <f>SUBTOTAL(109,Table5[Ore Anno 2])</f>
        <v>7584.6</v>
      </c>
      <c r="H28" s="96">
        <f>SUBTOTAL(109,Table5[Ore Anno 3])</f>
        <v>5299.8</v>
      </c>
      <c r="I28" s="96">
        <f>SUBTOTAL(109,Table5[Ore Anno 4])</f>
        <v>4569.8</v>
      </c>
      <c r="J28" s="94">
        <f>SUBTOTAL(109,Table5[Totale Ore])</f>
        <v>23808.6</v>
      </c>
      <c r="K28" s="1"/>
      <c r="L28" s="2"/>
    </row>
    <row r="29" spans="1:13" ht="15.75" customHeight="1" x14ac:dyDescent="0.25">
      <c r="A29" s="69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3" ht="18" customHeight="1" x14ac:dyDescent="0.25">
      <c r="A30" s="69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"/>
    </row>
    <row r="31" spans="1:13" ht="18" customHeight="1" x14ac:dyDescent="0.25">
      <c r="A31" s="72" t="s">
        <v>0</v>
      </c>
      <c r="B31" s="42" t="s">
        <v>69</v>
      </c>
      <c r="C31" s="42" t="s">
        <v>2</v>
      </c>
      <c r="D31" s="42" t="s">
        <v>71</v>
      </c>
      <c r="E31" s="42" t="s">
        <v>3</v>
      </c>
      <c r="F31" s="42" t="s">
        <v>37</v>
      </c>
      <c r="G31" s="42" t="s">
        <v>38</v>
      </c>
      <c r="H31" s="42" t="s">
        <v>39</v>
      </c>
      <c r="I31" s="42" t="s">
        <v>40</v>
      </c>
      <c r="J31" s="102" t="s">
        <v>41</v>
      </c>
      <c r="K31" s="3"/>
      <c r="L31" s="3"/>
    </row>
    <row r="32" spans="1:13" ht="18" customHeight="1" x14ac:dyDescent="0.25">
      <c r="A32" s="67" t="str">
        <f>A4</f>
        <v>Andretto Elia</v>
      </c>
      <c r="B32" s="17" t="str">
        <f t="shared" ref="B32:D32" si="2">B4</f>
        <v>NDRLEI98H26E063K</v>
      </c>
      <c r="C32" s="17" t="str">
        <f t="shared" si="2"/>
        <v>CTER</v>
      </c>
      <c r="D32" s="17" t="str">
        <f t="shared" si="2"/>
        <v>BASSO</v>
      </c>
      <c r="E32" s="43">
        <f>E4</f>
        <v>29</v>
      </c>
      <c r="F32" s="43">
        <f>F4*$E4</f>
        <v>4593.6000000000013</v>
      </c>
      <c r="G32" s="43">
        <f t="shared" ref="G32:I32" si="3">G4*$E4</f>
        <v>2583.8999999999996</v>
      </c>
      <c r="H32" s="43">
        <f t="shared" si="3"/>
        <v>2583.8999999999996</v>
      </c>
      <c r="I32" s="43">
        <f t="shared" si="3"/>
        <v>4593.6000000000013</v>
      </c>
      <c r="J32" s="62">
        <f t="shared" ref="J32:J41" si="4">SUM(F32:I32)</f>
        <v>14355.000000000004</v>
      </c>
      <c r="K32" s="3"/>
      <c r="L32" s="3"/>
    </row>
    <row r="33" spans="1:13" ht="18" customHeight="1" x14ac:dyDescent="0.25">
      <c r="A33" s="67" t="str">
        <f t="shared" ref="A33:E46" si="5">A5</f>
        <v>Bozzi Roberto</v>
      </c>
      <c r="B33" s="17" t="str">
        <f t="shared" si="5"/>
        <v>BZZRRT67H19F205U</v>
      </c>
      <c r="C33" s="17" t="str">
        <f t="shared" si="5"/>
        <v>CTER</v>
      </c>
      <c r="D33" s="17" t="str">
        <f t="shared" si="5"/>
        <v>BASSO</v>
      </c>
      <c r="E33" s="43">
        <f t="shared" si="5"/>
        <v>29</v>
      </c>
      <c r="F33" s="43">
        <f t="shared" ref="F33:I33" si="6">F5*$E5</f>
        <v>4593.6000000000013</v>
      </c>
      <c r="G33" s="43">
        <f t="shared" si="6"/>
        <v>2583.8999999999996</v>
      </c>
      <c r="H33" s="43">
        <f t="shared" si="6"/>
        <v>2583.8999999999996</v>
      </c>
      <c r="I33" s="43">
        <f t="shared" si="6"/>
        <v>4593.6000000000013</v>
      </c>
      <c r="J33" s="62">
        <f t="shared" si="4"/>
        <v>14355.000000000004</v>
      </c>
      <c r="K33" s="3"/>
      <c r="L33" s="3"/>
      <c r="M33" s="2"/>
    </row>
    <row r="34" spans="1:13" ht="18" customHeight="1" x14ac:dyDescent="0.25">
      <c r="A34" s="67" t="str">
        <f t="shared" si="5"/>
        <v>Caimmi Marco</v>
      </c>
      <c r="B34" s="17" t="str">
        <f t="shared" si="5"/>
        <v>CMMMRC68C12F205K</v>
      </c>
      <c r="C34" s="17" t="str">
        <f t="shared" si="5"/>
        <v>I ricercatore</v>
      </c>
      <c r="D34" s="17" t="str">
        <f t="shared" si="5"/>
        <v>ALTO</v>
      </c>
      <c r="E34" s="43">
        <f t="shared" si="5"/>
        <v>55</v>
      </c>
      <c r="F34" s="43">
        <f t="shared" ref="F34:I34" si="7">F6*$E6</f>
        <v>30250</v>
      </c>
      <c r="G34" s="43">
        <f t="shared" si="7"/>
        <v>7260</v>
      </c>
      <c r="H34" s="43">
        <f t="shared" si="7"/>
        <v>0</v>
      </c>
      <c r="I34" s="43">
        <f t="shared" si="7"/>
        <v>0</v>
      </c>
      <c r="J34" s="62">
        <f t="shared" si="4"/>
        <v>37510</v>
      </c>
      <c r="K34" s="3"/>
      <c r="L34" s="3"/>
      <c r="M34" s="2"/>
    </row>
    <row r="35" spans="1:13" ht="18" customHeight="1" x14ac:dyDescent="0.25">
      <c r="A35" s="67" t="str">
        <f t="shared" si="5"/>
        <v>Chizzoli Guido</v>
      </c>
      <c r="B35" s="17" t="str">
        <f t="shared" si="5"/>
        <v>CHZGDU78R25D142Y</v>
      </c>
      <c r="C35" s="17" t="str">
        <f t="shared" si="5"/>
        <v>Ricercatore III</v>
      </c>
      <c r="D35" s="17" t="str">
        <f t="shared" si="5"/>
        <v>MEDIO</v>
      </c>
      <c r="E35" s="43">
        <f t="shared" si="5"/>
        <v>33</v>
      </c>
      <c r="F35" s="43">
        <f t="shared" ref="F35:I35" si="8">F7*$E7</f>
        <v>4174.5</v>
      </c>
      <c r="G35" s="43">
        <f t="shared" si="8"/>
        <v>0</v>
      </c>
      <c r="H35" s="43">
        <f t="shared" si="8"/>
        <v>0</v>
      </c>
      <c r="I35" s="43">
        <f t="shared" si="8"/>
        <v>0</v>
      </c>
      <c r="J35" s="62">
        <f t="shared" si="4"/>
        <v>4174.5</v>
      </c>
      <c r="K35" s="3"/>
      <c r="L35" s="3"/>
    </row>
    <row r="36" spans="1:13" ht="18" customHeight="1" x14ac:dyDescent="0.25">
      <c r="A36" s="67" t="str">
        <f t="shared" si="5"/>
        <v>Dinon Tito</v>
      </c>
      <c r="B36" s="17" t="str">
        <f t="shared" si="5"/>
        <v>DNNTTI86M09C933W</v>
      </c>
      <c r="C36" s="17" t="str">
        <f t="shared" si="5"/>
        <v>CTER</v>
      </c>
      <c r="D36" s="17" t="str">
        <f t="shared" si="5"/>
        <v>BASSO</v>
      </c>
      <c r="E36" s="43">
        <f t="shared" si="5"/>
        <v>29</v>
      </c>
      <c r="F36" s="43">
        <f t="shared" ref="F36:I36" si="9">F8*$E8</f>
        <v>4593.6000000000013</v>
      </c>
      <c r="G36" s="43">
        <f t="shared" si="9"/>
        <v>4593.6000000000013</v>
      </c>
      <c r="H36" s="43">
        <f t="shared" si="9"/>
        <v>3285.6999999999994</v>
      </c>
      <c r="I36" s="43">
        <f t="shared" si="9"/>
        <v>2583.8999999999996</v>
      </c>
      <c r="J36" s="62">
        <f t="shared" si="4"/>
        <v>15056.800000000001</v>
      </c>
      <c r="K36" s="3"/>
      <c r="L36" s="3"/>
      <c r="M36" s="2"/>
    </row>
    <row r="37" spans="1:13" ht="18" customHeight="1" x14ac:dyDescent="0.25">
      <c r="A37" s="67" t="str">
        <f t="shared" si="5"/>
        <v>Mottura Stefano</v>
      </c>
      <c r="B37" s="17" t="str">
        <f t="shared" si="5"/>
        <v>MTTSFN70L14F205T</v>
      </c>
      <c r="C37" s="17" t="str">
        <f t="shared" si="5"/>
        <v>I Tecnologo</v>
      </c>
      <c r="D37" s="17" t="str">
        <f t="shared" si="5"/>
        <v>ALTO</v>
      </c>
      <c r="E37" s="43">
        <f t="shared" si="5"/>
        <v>55</v>
      </c>
      <c r="F37" s="43">
        <f t="shared" ref="F37:I37" si="10">F9*$E9</f>
        <v>32972.5</v>
      </c>
      <c r="G37" s="43">
        <f t="shared" si="10"/>
        <v>32972.5</v>
      </c>
      <c r="H37" s="43">
        <f t="shared" si="10"/>
        <v>23655.500000000004</v>
      </c>
      <c r="I37" s="43">
        <f t="shared" si="10"/>
        <v>18634.000000000004</v>
      </c>
      <c r="J37" s="62">
        <f t="shared" si="4"/>
        <v>108234.5</v>
      </c>
      <c r="K37" s="3"/>
      <c r="L37" s="3"/>
      <c r="M37" s="2"/>
    </row>
    <row r="38" spans="1:13" ht="18" customHeight="1" x14ac:dyDescent="0.25">
      <c r="A38" s="73" t="str">
        <f t="shared" si="5"/>
        <v>Pedrocchi Nicola</v>
      </c>
      <c r="B38" s="45" t="str">
        <f t="shared" si="5"/>
        <v>PDRNCL79H26E333U</v>
      </c>
      <c r="C38" s="45" t="str">
        <f t="shared" si="5"/>
        <v>Dir. Ricerca</v>
      </c>
      <c r="D38" s="45" t="str">
        <f t="shared" si="5"/>
        <v>ALTO</v>
      </c>
      <c r="E38" s="46">
        <f t="shared" si="5"/>
        <v>55</v>
      </c>
      <c r="F38" s="46">
        <f t="shared" ref="F38:I38" si="11">F10*$E10</f>
        <v>76230</v>
      </c>
      <c r="G38" s="46">
        <f t="shared" si="11"/>
        <v>76230</v>
      </c>
      <c r="H38" s="46">
        <f t="shared" si="11"/>
        <v>60741.999999999993</v>
      </c>
      <c r="I38" s="46">
        <f t="shared" si="11"/>
        <v>36300</v>
      </c>
      <c r="J38" s="62">
        <f t="shared" si="4"/>
        <v>249502</v>
      </c>
      <c r="K38" s="3"/>
      <c r="L38" s="3"/>
      <c r="M38" s="2"/>
    </row>
    <row r="39" spans="1:13" ht="18" customHeight="1" x14ac:dyDescent="0.25">
      <c r="A39" s="67" t="str">
        <f t="shared" si="5"/>
        <v>Silva Fabrizio</v>
      </c>
      <c r="B39" s="17" t="str">
        <f t="shared" si="5"/>
        <v>SLVFRZ80S19L872K</v>
      </c>
      <c r="C39" s="17" t="str">
        <f t="shared" si="5"/>
        <v>Tecnologo III</v>
      </c>
      <c r="D39" s="17" t="str">
        <f t="shared" si="5"/>
        <v>MEDIO</v>
      </c>
      <c r="E39" s="43">
        <f t="shared" si="5"/>
        <v>33</v>
      </c>
      <c r="F39" s="43">
        <f t="shared" ref="F39:I39" si="12">F11*$E11</f>
        <v>4174.5</v>
      </c>
      <c r="G39" s="43">
        <f t="shared" si="12"/>
        <v>0</v>
      </c>
      <c r="H39" s="43">
        <f t="shared" si="12"/>
        <v>0</v>
      </c>
      <c r="I39" s="43">
        <f t="shared" si="12"/>
        <v>0</v>
      </c>
      <c r="J39" s="62">
        <f t="shared" si="4"/>
        <v>4174.5</v>
      </c>
      <c r="K39" s="3"/>
      <c r="L39" s="3"/>
    </row>
    <row r="40" spans="1:13" ht="18" customHeight="1" x14ac:dyDescent="0.25">
      <c r="A40" s="67" t="str">
        <f t="shared" si="5"/>
        <v>Spena Pier Raffaele</v>
      </c>
      <c r="B40" s="17" t="str">
        <f t="shared" si="5"/>
        <v>SPNPRF70T12F839E</v>
      </c>
      <c r="C40" s="17" t="str">
        <f t="shared" si="5"/>
        <v>CTER</v>
      </c>
      <c r="D40" s="17" t="str">
        <f t="shared" si="5"/>
        <v>BASSO</v>
      </c>
      <c r="E40" s="43">
        <f t="shared" si="5"/>
        <v>29</v>
      </c>
      <c r="F40" s="43">
        <f t="shared" ref="F40:I40" si="13">F12*$E12</f>
        <v>4593.6000000000013</v>
      </c>
      <c r="G40" s="43">
        <f t="shared" si="13"/>
        <v>4593.6000000000013</v>
      </c>
      <c r="H40" s="43">
        <f t="shared" si="13"/>
        <v>3285.6999999999994</v>
      </c>
      <c r="I40" s="43">
        <f t="shared" si="13"/>
        <v>2583.8999999999996</v>
      </c>
      <c r="J40" s="62">
        <f t="shared" si="4"/>
        <v>15056.800000000001</v>
      </c>
      <c r="K40" s="3"/>
      <c r="L40" s="3"/>
      <c r="M40" s="2"/>
    </row>
    <row r="41" spans="1:13" ht="18" customHeight="1" x14ac:dyDescent="0.25">
      <c r="A41" s="67" t="str">
        <f t="shared" si="5"/>
        <v>Villagrossi Enrico</v>
      </c>
      <c r="B41" s="17" t="str">
        <f t="shared" si="5"/>
        <v>VLLNRC86R08E897T</v>
      </c>
      <c r="C41" s="17" t="str">
        <f t="shared" si="5"/>
        <v>Ricercatore</v>
      </c>
      <c r="D41" s="17" t="str">
        <f t="shared" si="5"/>
        <v>MEDIO</v>
      </c>
      <c r="E41" s="43">
        <f t="shared" si="5"/>
        <v>33</v>
      </c>
      <c r="F41" s="43">
        <f t="shared" ref="F41:I41" si="14">F13*$E13</f>
        <v>15486.900000000001</v>
      </c>
      <c r="G41" s="43">
        <f t="shared" si="14"/>
        <v>8385.2999999999993</v>
      </c>
      <c r="H41" s="43">
        <f t="shared" si="14"/>
        <v>5989.5</v>
      </c>
      <c r="I41" s="43">
        <f t="shared" si="14"/>
        <v>0</v>
      </c>
      <c r="J41" s="62">
        <f t="shared" si="4"/>
        <v>29861.7</v>
      </c>
      <c r="K41" s="3"/>
      <c r="L41" s="3"/>
      <c r="M41" s="2"/>
    </row>
    <row r="42" spans="1:13" ht="18" customHeight="1" x14ac:dyDescent="0.25">
      <c r="A42" s="67" t="str">
        <f t="shared" si="5"/>
        <v>Contratto di Ricerca 1</v>
      </c>
      <c r="B42" s="17">
        <f t="shared" si="5"/>
        <v>0</v>
      </c>
      <c r="C42" s="17" t="str">
        <f t="shared" si="5"/>
        <v>Ricercatore</v>
      </c>
      <c r="D42" s="17" t="str">
        <f t="shared" si="5"/>
        <v>MEDIO</v>
      </c>
      <c r="E42" s="43">
        <f t="shared" si="5"/>
        <v>33</v>
      </c>
      <c r="F42" s="43">
        <f t="shared" ref="F42:I42" si="15">F14*$E14</f>
        <v>20790</v>
      </c>
      <c r="G42" s="43">
        <f t="shared" si="15"/>
        <v>45738</v>
      </c>
      <c r="H42" s="43">
        <f t="shared" si="15"/>
        <v>36300</v>
      </c>
      <c r="I42" s="43">
        <f t="shared" si="15"/>
        <v>23100</v>
      </c>
      <c r="J42" s="62">
        <f t="shared" ref="J42:J44" si="16">SUM(F42:I42)</f>
        <v>125928</v>
      </c>
      <c r="K42" s="3"/>
      <c r="L42" s="3"/>
      <c r="M42" s="2"/>
    </row>
    <row r="43" spans="1:13" ht="18" customHeight="1" x14ac:dyDescent="0.25">
      <c r="A43" s="67" t="str">
        <f t="shared" si="5"/>
        <v>Contratto di Ricerca 2</v>
      </c>
      <c r="B43" s="17">
        <f t="shared" si="5"/>
        <v>0</v>
      </c>
      <c r="C43" s="17" t="str">
        <f t="shared" si="5"/>
        <v>Ricercatore</v>
      </c>
      <c r="D43" s="17" t="str">
        <f t="shared" si="5"/>
        <v>MEDIO</v>
      </c>
      <c r="E43" s="43">
        <f t="shared" si="5"/>
        <v>33</v>
      </c>
      <c r="F43" s="43">
        <f t="shared" ref="F43:I43" si="17">F15*$E15</f>
        <v>0</v>
      </c>
      <c r="G43" s="43">
        <f t="shared" si="17"/>
        <v>18480</v>
      </c>
      <c r="H43" s="43">
        <f t="shared" si="17"/>
        <v>22869</v>
      </c>
      <c r="I43" s="43">
        <f t="shared" si="17"/>
        <v>32670</v>
      </c>
      <c r="J43" s="62">
        <f t="shared" si="16"/>
        <v>74019</v>
      </c>
      <c r="K43" s="3"/>
      <c r="L43" s="3"/>
      <c r="M43" s="2"/>
    </row>
    <row r="44" spans="1:13" ht="18" customHeight="1" x14ac:dyDescent="0.25">
      <c r="A44" s="67" t="str">
        <f t="shared" si="5"/>
        <v>Incarico di Ricerca 1</v>
      </c>
      <c r="B44" s="17">
        <f t="shared" si="5"/>
        <v>0</v>
      </c>
      <c r="C44" s="17" t="str">
        <f t="shared" si="5"/>
        <v>Ricercatore</v>
      </c>
      <c r="D44" s="17" t="str">
        <f t="shared" si="5"/>
        <v>MEDIO</v>
      </c>
      <c r="E44" s="43">
        <f t="shared" si="5"/>
        <v>33</v>
      </c>
      <c r="F44" s="43">
        <f t="shared" ref="F44:I44" si="18">F16*$E16</f>
        <v>16632</v>
      </c>
      <c r="G44" s="43">
        <f t="shared" si="18"/>
        <v>45738</v>
      </c>
      <c r="H44" s="43">
        <f t="shared" si="18"/>
        <v>22869</v>
      </c>
      <c r="I44" s="43">
        <f t="shared" si="18"/>
        <v>22869</v>
      </c>
      <c r="J44" s="62">
        <f t="shared" si="16"/>
        <v>108108</v>
      </c>
      <c r="K44" s="3"/>
      <c r="L44" s="3"/>
    </row>
    <row r="45" spans="1:13" ht="18" customHeight="1" x14ac:dyDescent="0.25">
      <c r="A45" s="67" t="str">
        <f t="shared" si="5"/>
        <v>Incarico di Ricerca 2</v>
      </c>
      <c r="B45" s="17">
        <f t="shared" si="5"/>
        <v>0</v>
      </c>
      <c r="C45" s="17" t="str">
        <f t="shared" si="5"/>
        <v>Ricercatore</v>
      </c>
      <c r="D45" s="17" t="str">
        <f t="shared" si="5"/>
        <v>MEDIO</v>
      </c>
      <c r="E45" s="43">
        <f t="shared" si="5"/>
        <v>33</v>
      </c>
      <c r="F45" s="43">
        <f t="shared" ref="F45:I45" si="19">F17*$E17</f>
        <v>16632</v>
      </c>
      <c r="G45" s="43">
        <f t="shared" si="19"/>
        <v>45738</v>
      </c>
      <c r="H45" s="43">
        <f t="shared" si="19"/>
        <v>22869</v>
      </c>
      <c r="I45" s="43">
        <f t="shared" si="19"/>
        <v>22869</v>
      </c>
      <c r="J45" s="62">
        <f>SUM(F45:I45)</f>
        <v>108108</v>
      </c>
      <c r="K45" s="3"/>
      <c r="L45" s="3"/>
    </row>
    <row r="46" spans="1:13" ht="18" customHeight="1" x14ac:dyDescent="0.25">
      <c r="A46" s="67" t="str">
        <f t="shared" si="5"/>
        <v>Fontana Gianmauro</v>
      </c>
      <c r="B46" s="17">
        <f t="shared" si="5"/>
        <v>0</v>
      </c>
      <c r="C46" s="17" t="str">
        <f t="shared" si="5"/>
        <v>Ricercatore</v>
      </c>
      <c r="D46" s="17" t="str">
        <f t="shared" si="5"/>
        <v>MEDIO</v>
      </c>
      <c r="E46" s="43">
        <f t="shared" si="5"/>
        <v>33</v>
      </c>
      <c r="F46" s="43">
        <f t="shared" ref="F46:I46" si="20">F18*$E18</f>
        <v>27225</v>
      </c>
      <c r="G46" s="43">
        <f t="shared" si="20"/>
        <v>0</v>
      </c>
      <c r="H46" s="43">
        <f t="shared" si="20"/>
        <v>0</v>
      </c>
      <c r="I46" s="43">
        <f t="shared" si="20"/>
        <v>0</v>
      </c>
      <c r="J46" s="62">
        <f>SUM(F46:I46)</f>
        <v>27225</v>
      </c>
      <c r="K46" s="1"/>
      <c r="L46" s="2"/>
    </row>
    <row r="47" spans="1:13" ht="18" customHeight="1" x14ac:dyDescent="0.25">
      <c r="A47" s="67"/>
      <c r="B47" s="17"/>
      <c r="C47" s="17"/>
      <c r="D47" s="17"/>
      <c r="E47" s="43">
        <f t="shared" ref="E47:E54" si="21">E19</f>
        <v>0</v>
      </c>
      <c r="F47" s="43">
        <f t="shared" ref="F47:I47" si="22">F19*$E19</f>
        <v>0</v>
      </c>
      <c r="G47" s="43">
        <f t="shared" si="22"/>
        <v>0</v>
      </c>
      <c r="H47" s="43">
        <f t="shared" si="22"/>
        <v>0</v>
      </c>
      <c r="I47" s="43">
        <f t="shared" si="22"/>
        <v>0</v>
      </c>
      <c r="J47" s="62">
        <f t="shared" ref="J47:J54" si="23">SUM(F47:I47)</f>
        <v>0</v>
      </c>
      <c r="K47" s="1"/>
      <c r="L47" s="2"/>
    </row>
    <row r="48" spans="1:13" ht="18" customHeight="1" x14ac:dyDescent="0.25">
      <c r="A48" s="67"/>
      <c r="B48" s="17"/>
      <c r="C48" s="17"/>
      <c r="D48" s="17"/>
      <c r="E48" s="43">
        <f t="shared" si="21"/>
        <v>0</v>
      </c>
      <c r="F48" s="43">
        <f t="shared" ref="F48:I48" si="24">F20*$E20</f>
        <v>0</v>
      </c>
      <c r="G48" s="43">
        <f t="shared" si="24"/>
        <v>0</v>
      </c>
      <c r="H48" s="43">
        <f t="shared" si="24"/>
        <v>0</v>
      </c>
      <c r="I48" s="43">
        <f t="shared" si="24"/>
        <v>0</v>
      </c>
      <c r="J48" s="62">
        <f t="shared" si="23"/>
        <v>0</v>
      </c>
      <c r="K48" s="1"/>
      <c r="L48" s="2"/>
    </row>
    <row r="49" spans="1:13" ht="18" customHeight="1" x14ac:dyDescent="0.25">
      <c r="A49" s="67"/>
      <c r="B49" s="17"/>
      <c r="C49" s="17"/>
      <c r="D49" s="17"/>
      <c r="E49" s="43">
        <f t="shared" si="21"/>
        <v>0</v>
      </c>
      <c r="F49" s="43">
        <f t="shared" ref="F49:I49" si="25">F21*$E21</f>
        <v>0</v>
      </c>
      <c r="G49" s="43">
        <f t="shared" si="25"/>
        <v>0</v>
      </c>
      <c r="H49" s="43">
        <f t="shared" si="25"/>
        <v>0</v>
      </c>
      <c r="I49" s="43">
        <f t="shared" si="25"/>
        <v>0</v>
      </c>
      <c r="J49" s="62">
        <f t="shared" si="23"/>
        <v>0</v>
      </c>
      <c r="K49" s="1"/>
      <c r="L49" s="2"/>
    </row>
    <row r="50" spans="1:13" ht="18" customHeight="1" x14ac:dyDescent="0.25">
      <c r="A50" s="67"/>
      <c r="B50" s="17"/>
      <c r="C50" s="17"/>
      <c r="D50" s="17"/>
      <c r="E50" s="43">
        <f t="shared" si="21"/>
        <v>0</v>
      </c>
      <c r="F50" s="43">
        <f t="shared" ref="F50:I50" si="26">F22*$E22</f>
        <v>0</v>
      </c>
      <c r="G50" s="43">
        <f t="shared" si="26"/>
        <v>0</v>
      </c>
      <c r="H50" s="43">
        <f t="shared" si="26"/>
        <v>0</v>
      </c>
      <c r="I50" s="43">
        <f t="shared" si="26"/>
        <v>0</v>
      </c>
      <c r="J50" s="62">
        <f t="shared" si="23"/>
        <v>0</v>
      </c>
      <c r="K50" s="1"/>
      <c r="L50" s="2"/>
    </row>
    <row r="51" spans="1:13" ht="18" customHeight="1" x14ac:dyDescent="0.25">
      <c r="A51" s="67"/>
      <c r="B51" s="17"/>
      <c r="C51" s="17"/>
      <c r="D51" s="17"/>
      <c r="E51" s="43">
        <f t="shared" si="21"/>
        <v>0</v>
      </c>
      <c r="F51" s="43">
        <f t="shared" ref="F51:I51" si="27">F23*$E23</f>
        <v>0</v>
      </c>
      <c r="G51" s="43">
        <f t="shared" si="27"/>
        <v>0</v>
      </c>
      <c r="H51" s="43">
        <f t="shared" si="27"/>
        <v>0</v>
      </c>
      <c r="I51" s="43">
        <f t="shared" si="27"/>
        <v>0</v>
      </c>
      <c r="J51" s="62">
        <f t="shared" si="23"/>
        <v>0</v>
      </c>
      <c r="K51" s="1"/>
      <c r="L51" s="2"/>
    </row>
    <row r="52" spans="1:13" ht="18" customHeight="1" x14ac:dyDescent="0.25">
      <c r="A52" s="67"/>
      <c r="B52" s="17"/>
      <c r="C52" s="17"/>
      <c r="D52" s="17"/>
      <c r="E52" s="43">
        <f t="shared" si="21"/>
        <v>0</v>
      </c>
      <c r="F52" s="43">
        <f t="shared" ref="F52:I52" si="28">F24*$E24</f>
        <v>0</v>
      </c>
      <c r="G52" s="43">
        <f t="shared" si="28"/>
        <v>0</v>
      </c>
      <c r="H52" s="43">
        <f t="shared" si="28"/>
        <v>0</v>
      </c>
      <c r="I52" s="43">
        <f t="shared" si="28"/>
        <v>0</v>
      </c>
      <c r="J52" s="62">
        <f t="shared" si="23"/>
        <v>0</v>
      </c>
      <c r="K52" s="1"/>
      <c r="L52" s="2"/>
    </row>
    <row r="53" spans="1:13" ht="18" customHeight="1" x14ac:dyDescent="0.25">
      <c r="A53" s="67"/>
      <c r="B53" s="17"/>
      <c r="C53" s="17"/>
      <c r="D53" s="17"/>
      <c r="E53" s="43">
        <f t="shared" si="21"/>
        <v>0</v>
      </c>
      <c r="F53" s="43">
        <f t="shared" ref="F53:I53" si="29">F25*$E25</f>
        <v>0</v>
      </c>
      <c r="G53" s="43">
        <f t="shared" si="29"/>
        <v>0</v>
      </c>
      <c r="H53" s="43">
        <f t="shared" si="29"/>
        <v>0</v>
      </c>
      <c r="I53" s="43">
        <f t="shared" si="29"/>
        <v>0</v>
      </c>
      <c r="J53" s="62">
        <f t="shared" si="23"/>
        <v>0</v>
      </c>
      <c r="K53" s="1"/>
      <c r="L53" s="2"/>
    </row>
    <row r="54" spans="1:13" ht="18" customHeight="1" x14ac:dyDescent="0.25">
      <c r="A54" s="67"/>
      <c r="B54" s="17"/>
      <c r="C54" s="17"/>
      <c r="D54" s="17"/>
      <c r="E54" s="43">
        <f t="shared" si="21"/>
        <v>0</v>
      </c>
      <c r="F54" s="43">
        <f t="shared" ref="F54:I54" si="30">F26*$E26</f>
        <v>0</v>
      </c>
      <c r="G54" s="43">
        <f t="shared" si="30"/>
        <v>0</v>
      </c>
      <c r="H54" s="43">
        <f t="shared" si="30"/>
        <v>0</v>
      </c>
      <c r="I54" s="43">
        <f t="shared" si="30"/>
        <v>0</v>
      </c>
      <c r="J54" s="62">
        <f t="shared" si="23"/>
        <v>0</v>
      </c>
      <c r="K54" s="1"/>
      <c r="L54" s="2"/>
    </row>
    <row r="55" spans="1:13" ht="18" customHeight="1" x14ac:dyDescent="0.25">
      <c r="A55" s="74" t="s">
        <v>77</v>
      </c>
      <c r="B55" s="63"/>
      <c r="C55" s="63"/>
      <c r="D55" s="63"/>
      <c r="E55" s="62">
        <f>SUBTOTAL(101,Table6[Costo Orario (€/h)])</f>
        <v>23.695652173913043</v>
      </c>
      <c r="F55" s="62">
        <f>SUBTOTAL(109,Table6[Anno 1])</f>
        <v>262941.8</v>
      </c>
      <c r="G55" s="62">
        <f>SUBTOTAL(109,Table6[Anno 2])</f>
        <v>294896.8</v>
      </c>
      <c r="H55" s="62">
        <f>SUBTOTAL(109,Table6[Anno 3])</f>
        <v>207033.2</v>
      </c>
      <c r="I55" s="62">
        <f>SUBTOTAL(109,Table6[Anno 4])</f>
        <v>170797</v>
      </c>
      <c r="J55" s="62">
        <f>SUBTOTAL(109,Table6[Totale €])</f>
        <v>935668.8</v>
      </c>
      <c r="K55" s="1"/>
      <c r="L55" s="47"/>
    </row>
    <row r="56" spans="1:13" ht="18" customHeight="1" thickBot="1" x14ac:dyDescent="0.3">
      <c r="A56" s="75"/>
      <c r="B56" s="40"/>
      <c r="C56" s="40"/>
      <c r="D56" s="40"/>
      <c r="E56" s="40"/>
      <c r="F56" s="3"/>
      <c r="G56" s="3"/>
      <c r="H56" s="3"/>
      <c r="I56" s="3"/>
      <c r="J56" s="41"/>
      <c r="K56" s="3"/>
      <c r="L56" s="3"/>
      <c r="M56" s="1"/>
    </row>
    <row r="57" spans="1:13" ht="15.75" customHeight="1" x14ac:dyDescent="0.25">
      <c r="A57" s="76" t="s">
        <v>79</v>
      </c>
      <c r="B57" s="53"/>
      <c r="C57" s="53"/>
      <c r="D57" s="53"/>
      <c r="E57" s="53"/>
      <c r="F57" s="54">
        <v>69382.8</v>
      </c>
      <c r="G57" s="54">
        <v>69382.8</v>
      </c>
      <c r="H57" s="54">
        <v>77092</v>
      </c>
      <c r="I57" s="54">
        <v>92510</v>
      </c>
      <c r="J57" s="55">
        <f>SUM(F57:I57)</f>
        <v>308367.59999999998</v>
      </c>
      <c r="K57" s="29"/>
      <c r="L57" s="2"/>
    </row>
    <row r="58" spans="1:13" ht="15.75" customHeight="1" x14ac:dyDescent="0.25">
      <c r="A58" s="77" t="s">
        <v>80</v>
      </c>
      <c r="B58" s="56"/>
      <c r="C58" s="56"/>
      <c r="D58" s="56"/>
      <c r="E58" s="56"/>
      <c r="F58" s="57">
        <f>104500+110500</f>
        <v>215000</v>
      </c>
      <c r="G58" s="57">
        <f>104500+110500</f>
        <v>215000</v>
      </c>
      <c r="H58" s="57">
        <f>57000+63000</f>
        <v>120000</v>
      </c>
      <c r="I58" s="57">
        <f>34000+41000</f>
        <v>75000</v>
      </c>
      <c r="J58" s="58">
        <f>SUM(F58:I58)</f>
        <v>625000</v>
      </c>
      <c r="K58" s="29"/>
      <c r="L58" s="2"/>
    </row>
    <row r="59" spans="1:13" ht="15.75" customHeight="1" thickBot="1" x14ac:dyDescent="0.3">
      <c r="A59" s="78" t="s">
        <v>81</v>
      </c>
      <c r="B59" s="59"/>
      <c r="C59" s="59"/>
      <c r="D59" s="59"/>
      <c r="E59" s="59"/>
      <c r="F59" s="60">
        <f>SUM(F57:F58)</f>
        <v>284382.8</v>
      </c>
      <c r="G59" s="60">
        <f t="shared" ref="G59:J59" si="31">SUM(G57:G58)</f>
        <v>284382.8</v>
      </c>
      <c r="H59" s="60">
        <f t="shared" si="31"/>
        <v>197092</v>
      </c>
      <c r="I59" s="60">
        <f t="shared" si="31"/>
        <v>167510</v>
      </c>
      <c r="J59" s="61">
        <f t="shared" si="31"/>
        <v>933367.6</v>
      </c>
      <c r="L59" s="2"/>
    </row>
    <row r="60" spans="1:13" ht="15.75" customHeight="1" thickBot="1" x14ac:dyDescent="0.3">
      <c r="A60" s="79"/>
      <c r="B60" s="2"/>
      <c r="C60" s="2"/>
      <c r="D60" s="2"/>
      <c r="E60" s="2"/>
      <c r="F60" s="3"/>
      <c r="G60" s="3"/>
      <c r="H60" s="3"/>
      <c r="I60" s="3"/>
      <c r="J60" s="3"/>
      <c r="K60" s="29"/>
      <c r="L60" s="2"/>
    </row>
    <row r="61" spans="1:13" ht="15.75" customHeight="1" x14ac:dyDescent="0.25">
      <c r="A61" s="80" t="s">
        <v>82</v>
      </c>
      <c r="B61" s="48"/>
      <c r="C61" s="48"/>
      <c r="D61" s="48"/>
      <c r="E61" s="48"/>
      <c r="F61" s="49">
        <f>F38-F57</f>
        <v>6847.1999999999971</v>
      </c>
      <c r="G61" s="49">
        <f t="shared" ref="G61:J61" si="32">G38-G57</f>
        <v>6847.1999999999971</v>
      </c>
      <c r="H61" s="49">
        <f t="shared" si="32"/>
        <v>-16350.000000000007</v>
      </c>
      <c r="I61" s="49">
        <f t="shared" si="32"/>
        <v>-56210</v>
      </c>
      <c r="J61" s="50">
        <f t="shared" si="32"/>
        <v>-58865.599999999977</v>
      </c>
      <c r="K61" s="29"/>
      <c r="L61" s="2"/>
    </row>
    <row r="62" spans="1:13" ht="15.75" customHeight="1" thickBot="1" x14ac:dyDescent="0.3">
      <c r="A62" s="81" t="s">
        <v>83</v>
      </c>
      <c r="B62" s="2"/>
      <c r="C62" s="2"/>
      <c r="D62" s="2"/>
      <c r="E62" s="2"/>
      <c r="F62" s="51">
        <f>(Table6[[#Totals],[Anno 1]]-F38)-F58</f>
        <v>-28288.200000000012</v>
      </c>
      <c r="G62" s="51">
        <f>(Table6[[#Totals],[Anno 2]]-G38)-G58</f>
        <v>3666.7999999999884</v>
      </c>
      <c r="H62" s="51">
        <f>(Table6[[#Totals],[Anno 3]]-H38)-H58</f>
        <v>26291.200000000012</v>
      </c>
      <c r="I62" s="51">
        <f>(Table6[[#Totals],[Anno 4]]-I38)-I58</f>
        <v>59497</v>
      </c>
      <c r="J62" s="52">
        <f>(Table6[[#Totals],[Totale €]]-J38)-J58</f>
        <v>61166.800000000047</v>
      </c>
      <c r="K62" s="29"/>
      <c r="L62" s="2"/>
    </row>
    <row r="63" spans="1:13" ht="15.75" customHeight="1" thickBot="1" x14ac:dyDescent="0.3">
      <c r="A63" s="98" t="s">
        <v>84</v>
      </c>
      <c r="B63" s="99"/>
      <c r="C63" s="99"/>
      <c r="D63" s="99"/>
      <c r="E63" s="99"/>
      <c r="F63" s="100">
        <f>Table6[[#Totals],[Anno 1]]-F59</f>
        <v>-21441</v>
      </c>
      <c r="G63" s="100">
        <f>Table6[[#Totals],[Anno 2]]-G59</f>
        <v>10514</v>
      </c>
      <c r="H63" s="100">
        <f>Table6[[#Totals],[Anno 3]]-H59</f>
        <v>9941.2000000000116</v>
      </c>
      <c r="I63" s="100">
        <f>Table6[[#Totals],[Anno 4]]-I59</f>
        <v>3287</v>
      </c>
      <c r="J63" s="101">
        <f>Table6[[#Totals],[Totale €]]-J59</f>
        <v>2301.2000000000698</v>
      </c>
      <c r="K63" s="29"/>
      <c r="L63" s="2"/>
    </row>
    <row r="64" spans="1:13" ht="18" x14ac:dyDescent="0.25">
      <c r="A64" s="82"/>
      <c r="B64" s="2"/>
      <c r="C64" s="2"/>
      <c r="D64" s="2"/>
      <c r="E64" s="2"/>
      <c r="F64" s="4"/>
      <c r="G64" s="4"/>
      <c r="H64" s="4"/>
      <c r="I64" s="4"/>
      <c r="J64" s="4"/>
      <c r="K64" s="29"/>
      <c r="L64" s="2"/>
    </row>
    <row r="65" spans="1:12" ht="64.5" customHeight="1" x14ac:dyDescent="0.2">
      <c r="A65" s="104" t="s">
        <v>42</v>
      </c>
      <c r="B65" s="104"/>
      <c r="C65" s="104"/>
      <c r="D65" s="104"/>
      <c r="E65" s="104"/>
      <c r="F65" s="104"/>
      <c r="G65" s="104"/>
      <c r="H65" s="104"/>
      <c r="I65" s="104"/>
      <c r="J65" s="104"/>
      <c r="K65" s="29"/>
      <c r="L65" s="2"/>
    </row>
    <row r="66" spans="1:12" ht="64.5" customHeight="1" x14ac:dyDescent="0.2">
      <c r="A66" s="83"/>
      <c r="B66" s="29"/>
      <c r="C66" s="29"/>
      <c r="D66" s="29"/>
      <c r="E66" s="29"/>
      <c r="F66" s="29"/>
      <c r="G66" s="29"/>
      <c r="H66" s="29"/>
      <c r="I66" s="29"/>
      <c r="J66" s="29"/>
      <c r="K66" s="29"/>
    </row>
    <row r="67" spans="1:12" ht="64.5" customHeight="1" x14ac:dyDescent="0.2">
      <c r="A67" s="83"/>
      <c r="B67" s="29"/>
      <c r="C67" s="29"/>
      <c r="D67" s="29"/>
      <c r="E67" s="29"/>
      <c r="F67" s="29"/>
      <c r="G67" s="29"/>
      <c r="H67" s="29"/>
      <c r="I67" s="29"/>
      <c r="J67" s="29"/>
      <c r="K67" s="29"/>
    </row>
    <row r="68" spans="1:12" ht="64.5" customHeight="1" x14ac:dyDescent="0.2">
      <c r="A68" s="83"/>
      <c r="B68" s="29"/>
      <c r="C68" s="29"/>
      <c r="D68" s="29"/>
      <c r="E68" s="29"/>
      <c r="F68" s="29"/>
      <c r="G68" s="29"/>
      <c r="H68" s="29"/>
      <c r="I68" s="29"/>
      <c r="J68" s="29"/>
      <c r="K68" s="29"/>
    </row>
    <row r="69" spans="1:12" ht="64.5" customHeight="1" x14ac:dyDescent="0.2">
      <c r="A69" s="83"/>
      <c r="B69" s="29"/>
      <c r="C69" s="29"/>
      <c r="D69" s="29"/>
      <c r="E69" s="29"/>
      <c r="F69" s="29"/>
      <c r="G69" s="29"/>
      <c r="H69" s="29"/>
      <c r="I69" s="29"/>
      <c r="J69" s="29"/>
    </row>
    <row r="70" spans="1:12" ht="64.5" customHeight="1" x14ac:dyDescent="0.2">
      <c r="A70" s="83"/>
      <c r="B70" s="29"/>
      <c r="C70" s="29"/>
      <c r="D70" s="29"/>
      <c r="E70" s="29"/>
      <c r="F70" s="29"/>
      <c r="G70" s="29"/>
      <c r="H70" s="29"/>
      <c r="I70" s="29"/>
      <c r="J70" s="29"/>
    </row>
    <row r="71" spans="1:12" ht="64.5" customHeight="1" x14ac:dyDescent="0.2"/>
  </sheetData>
  <mergeCells count="1">
    <mergeCell ref="A65:J65"/>
  </mergeCells>
  <dataValidations count="2">
    <dataValidation type="list" allowBlank="1" showInputMessage="1" showErrorMessage="1" sqref="B1" xr:uid="{B91E9233-361B-4A8D-B232-B9E8CF65A6A7}">
      <formula1>$Q$4:$R$4</formula1>
    </dataValidation>
    <dataValidation type="list" allowBlank="1" showInputMessage="1" showErrorMessage="1" sqref="D4:D27 D47:D54 D56" xr:uid="{12CED71A-8210-44ED-AD97-6F8BBBC3E31B}">
      <formula1>$L$5:$L$7</formula1>
    </dataValidation>
  </dataValidations>
  <pageMargins left="0.7" right="0.7" top="0.75" bottom="0.75" header="0.511811023622047" footer="0.511811023622047"/>
  <pageSetup paperSize="9" orientation="landscape" horizontalDpi="300" verticalDpi="300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677"/>
  <sheetViews>
    <sheetView zoomScale="85" zoomScaleNormal="85" workbookViewId="0">
      <selection activeCell="B553" sqref="B553"/>
    </sheetView>
  </sheetViews>
  <sheetFormatPr defaultColWidth="10.7109375" defaultRowHeight="18" x14ac:dyDescent="0.25"/>
  <cols>
    <col min="1" max="1" width="49.140625" style="1" customWidth="1"/>
    <col min="2" max="2" width="15" style="38" customWidth="1"/>
    <col min="3" max="3" width="15.140625" style="5" customWidth="1"/>
    <col min="4" max="4" width="14.85546875" style="5" bestFit="1" customWidth="1"/>
    <col min="5" max="5" width="7.42578125" style="1" customWidth="1"/>
    <col min="6" max="9" width="8.85546875" customWidth="1"/>
    <col min="10" max="10" width="14.140625" customWidth="1"/>
    <col min="11" max="11" width="16.28515625" customWidth="1"/>
    <col min="12" max="12" width="15.42578125" customWidth="1"/>
  </cols>
  <sheetData>
    <row r="2" spans="1:9" ht="37.5" customHeight="1" x14ac:dyDescent="0.25">
      <c r="A2" s="6" t="s">
        <v>43</v>
      </c>
      <c r="B2" s="31" t="s">
        <v>44</v>
      </c>
      <c r="C2" s="7" t="s">
        <v>45</v>
      </c>
      <c r="D2" s="7" t="s">
        <v>46</v>
      </c>
      <c r="F2" s="8">
        <v>2026</v>
      </c>
      <c r="G2" s="9">
        <v>2027</v>
      </c>
      <c r="H2" s="10">
        <v>2028</v>
      </c>
      <c r="I2" s="11">
        <v>2029</v>
      </c>
    </row>
    <row r="3" spans="1:9" ht="18.75" customHeight="1" x14ac:dyDescent="0.25">
      <c r="A3" s="12" t="s">
        <v>14</v>
      </c>
      <c r="B3" s="32">
        <v>1</v>
      </c>
      <c r="C3" s="13" t="s">
        <v>47</v>
      </c>
      <c r="D3" s="13">
        <v>50</v>
      </c>
    </row>
    <row r="4" spans="1:9" ht="18.75" customHeight="1" x14ac:dyDescent="0.25">
      <c r="A4" s="12" t="s">
        <v>14</v>
      </c>
      <c r="B4" s="32">
        <v>1</v>
      </c>
      <c r="C4" s="13" t="s">
        <v>48</v>
      </c>
      <c r="D4" s="13">
        <v>50</v>
      </c>
    </row>
    <row r="5" spans="1:9" ht="18.75" customHeight="1" x14ac:dyDescent="0.25">
      <c r="A5" s="12" t="s">
        <v>14</v>
      </c>
      <c r="B5" s="32">
        <v>1</v>
      </c>
      <c r="C5" s="13" t="s">
        <v>49</v>
      </c>
      <c r="D5" s="13">
        <v>50</v>
      </c>
    </row>
    <row r="6" spans="1:9" ht="18.75" customHeight="1" x14ac:dyDescent="0.25">
      <c r="A6" s="12" t="s">
        <v>14</v>
      </c>
      <c r="B6" s="32">
        <v>1</v>
      </c>
      <c r="C6" s="13" t="s">
        <v>50</v>
      </c>
      <c r="D6" s="13">
        <v>50</v>
      </c>
    </row>
    <row r="7" spans="1:9" ht="18.75" customHeight="1" x14ac:dyDescent="0.25">
      <c r="A7" s="12" t="s">
        <v>14</v>
      </c>
      <c r="B7" s="32">
        <v>1</v>
      </c>
      <c r="C7" s="13" t="s">
        <v>51</v>
      </c>
      <c r="D7" s="13">
        <v>50</v>
      </c>
    </row>
    <row r="8" spans="1:9" ht="18.75" customHeight="1" x14ac:dyDescent="0.25">
      <c r="A8" s="12" t="s">
        <v>14</v>
      </c>
      <c r="B8" s="32">
        <v>1</v>
      </c>
      <c r="C8" s="13" t="s">
        <v>52</v>
      </c>
      <c r="D8" s="13">
        <v>50</v>
      </c>
    </row>
    <row r="9" spans="1:9" ht="18.75" customHeight="1" x14ac:dyDescent="0.25">
      <c r="A9" s="12" t="s">
        <v>14</v>
      </c>
      <c r="B9" s="32">
        <v>1</v>
      </c>
      <c r="C9" s="13" t="s">
        <v>53</v>
      </c>
      <c r="D9" s="13">
        <v>50</v>
      </c>
    </row>
    <row r="10" spans="1:9" ht="18.75" customHeight="1" x14ac:dyDescent="0.25">
      <c r="A10" s="12" t="s">
        <v>14</v>
      </c>
      <c r="B10" s="32">
        <v>1</v>
      </c>
      <c r="C10" s="13" t="s">
        <v>54</v>
      </c>
      <c r="D10" s="13">
        <v>50</v>
      </c>
    </row>
    <row r="11" spans="1:9" ht="18.75" customHeight="1" x14ac:dyDescent="0.25">
      <c r="A11" s="12" t="s">
        <v>14</v>
      </c>
      <c r="B11" s="32">
        <v>1</v>
      </c>
      <c r="C11" s="13" t="s">
        <v>55</v>
      </c>
      <c r="D11" s="13">
        <v>50</v>
      </c>
    </row>
    <row r="12" spans="1:9" ht="18.75" customHeight="1" x14ac:dyDescent="0.25">
      <c r="A12" s="12" t="s">
        <v>14</v>
      </c>
      <c r="B12" s="32">
        <v>1</v>
      </c>
      <c r="C12" s="13" t="s">
        <v>56</v>
      </c>
      <c r="D12" s="13">
        <v>50</v>
      </c>
    </row>
    <row r="13" spans="1:9" ht="18.75" customHeight="1" x14ac:dyDescent="0.25">
      <c r="A13" s="12" t="s">
        <v>14</v>
      </c>
      <c r="B13" s="32">
        <v>1</v>
      </c>
      <c r="C13" s="13" t="s">
        <v>57</v>
      </c>
      <c r="D13" s="13">
        <v>50</v>
      </c>
    </row>
    <row r="14" spans="1:9" ht="18.75" customHeight="1" x14ac:dyDescent="0.25">
      <c r="A14" s="12" t="s">
        <v>14</v>
      </c>
      <c r="B14" s="33">
        <v>2</v>
      </c>
      <c r="C14" s="13" t="s">
        <v>47</v>
      </c>
      <c r="D14" s="13">
        <v>12</v>
      </c>
    </row>
    <row r="15" spans="1:9" ht="18.75" customHeight="1" x14ac:dyDescent="0.25">
      <c r="A15" s="12" t="s">
        <v>14</v>
      </c>
      <c r="B15" s="33">
        <v>2</v>
      </c>
      <c r="C15" s="13" t="s">
        <v>48</v>
      </c>
      <c r="D15" s="13">
        <v>12</v>
      </c>
    </row>
    <row r="16" spans="1:9" ht="18.75" customHeight="1" x14ac:dyDescent="0.25">
      <c r="A16" s="12" t="s">
        <v>14</v>
      </c>
      <c r="B16" s="33">
        <v>2</v>
      </c>
      <c r="C16" s="13" t="s">
        <v>49</v>
      </c>
      <c r="D16" s="13">
        <v>12</v>
      </c>
    </row>
    <row r="17" spans="1:4" ht="18.75" customHeight="1" x14ac:dyDescent="0.25">
      <c r="A17" s="12" t="s">
        <v>14</v>
      </c>
      <c r="B17" s="33">
        <v>2</v>
      </c>
      <c r="C17" s="13" t="s">
        <v>50</v>
      </c>
      <c r="D17" s="13">
        <v>12</v>
      </c>
    </row>
    <row r="18" spans="1:4" ht="18.75" customHeight="1" x14ac:dyDescent="0.25">
      <c r="A18" s="12" t="s">
        <v>14</v>
      </c>
      <c r="B18" s="33">
        <v>2</v>
      </c>
      <c r="C18" s="13" t="s">
        <v>51</v>
      </c>
      <c r="D18" s="13">
        <v>12</v>
      </c>
    </row>
    <row r="19" spans="1:4" ht="18.75" customHeight="1" x14ac:dyDescent="0.25">
      <c r="A19" s="12" t="s">
        <v>14</v>
      </c>
      <c r="B19" s="33">
        <v>2</v>
      </c>
      <c r="C19" s="13" t="s">
        <v>52</v>
      </c>
      <c r="D19" s="13">
        <v>12</v>
      </c>
    </row>
    <row r="20" spans="1:4" ht="18.75" customHeight="1" x14ac:dyDescent="0.25">
      <c r="A20" s="12" t="s">
        <v>14</v>
      </c>
      <c r="B20" s="33">
        <v>2</v>
      </c>
      <c r="C20" s="13" t="s">
        <v>53</v>
      </c>
      <c r="D20" s="13">
        <v>12</v>
      </c>
    </row>
    <row r="21" spans="1:4" ht="18.75" customHeight="1" x14ac:dyDescent="0.25">
      <c r="A21" s="12" t="s">
        <v>14</v>
      </c>
      <c r="B21" s="33">
        <v>2</v>
      </c>
      <c r="C21" s="13" t="s">
        <v>54</v>
      </c>
      <c r="D21" s="13">
        <v>12</v>
      </c>
    </row>
    <row r="22" spans="1:4" ht="18.75" customHeight="1" x14ac:dyDescent="0.25">
      <c r="A22" s="12" t="s">
        <v>14</v>
      </c>
      <c r="B22" s="33">
        <v>2</v>
      </c>
      <c r="C22" s="13" t="s">
        <v>55</v>
      </c>
      <c r="D22" s="13">
        <v>12</v>
      </c>
    </row>
    <row r="23" spans="1:4" ht="18.75" customHeight="1" x14ac:dyDescent="0.25">
      <c r="A23" s="12" t="s">
        <v>14</v>
      </c>
      <c r="B23" s="33">
        <v>2</v>
      </c>
      <c r="C23" s="13" t="s">
        <v>56</v>
      </c>
      <c r="D23" s="13">
        <v>12</v>
      </c>
    </row>
    <row r="24" spans="1:4" ht="18.75" customHeight="1" x14ac:dyDescent="0.25">
      <c r="A24" s="12" t="s">
        <v>14</v>
      </c>
      <c r="B24" s="33">
        <v>2</v>
      </c>
      <c r="C24" s="13" t="s">
        <v>57</v>
      </c>
      <c r="D24" s="13">
        <v>12</v>
      </c>
    </row>
    <row r="25" spans="1:4" ht="18.75" customHeight="1" x14ac:dyDescent="0.25">
      <c r="A25" s="12" t="s">
        <v>14</v>
      </c>
      <c r="B25" s="34">
        <v>3</v>
      </c>
      <c r="C25" s="13" t="s">
        <v>47</v>
      </c>
      <c r="D25" s="13">
        <v>0</v>
      </c>
    </row>
    <row r="26" spans="1:4" ht="18.75" customHeight="1" x14ac:dyDescent="0.25">
      <c r="A26" s="12" t="s">
        <v>14</v>
      </c>
      <c r="B26" s="34">
        <v>3</v>
      </c>
      <c r="C26" s="13" t="s">
        <v>48</v>
      </c>
      <c r="D26" s="13">
        <v>0</v>
      </c>
    </row>
    <row r="27" spans="1:4" ht="18.75" customHeight="1" x14ac:dyDescent="0.25">
      <c r="A27" s="12" t="s">
        <v>14</v>
      </c>
      <c r="B27" s="34">
        <v>3</v>
      </c>
      <c r="C27" s="13" t="s">
        <v>49</v>
      </c>
      <c r="D27" s="13">
        <v>0</v>
      </c>
    </row>
    <row r="28" spans="1:4" ht="18.75" customHeight="1" x14ac:dyDescent="0.25">
      <c r="A28" s="12" t="s">
        <v>14</v>
      </c>
      <c r="B28" s="34">
        <v>3</v>
      </c>
      <c r="C28" s="13" t="s">
        <v>50</v>
      </c>
      <c r="D28" s="13">
        <v>0</v>
      </c>
    </row>
    <row r="29" spans="1:4" ht="18.75" customHeight="1" x14ac:dyDescent="0.25">
      <c r="A29" s="12" t="s">
        <v>14</v>
      </c>
      <c r="B29" s="34">
        <v>3</v>
      </c>
      <c r="C29" s="13" t="s">
        <v>51</v>
      </c>
      <c r="D29" s="13">
        <v>0</v>
      </c>
    </row>
    <row r="30" spans="1:4" ht="18.75" customHeight="1" x14ac:dyDescent="0.25">
      <c r="A30" s="12" t="s">
        <v>14</v>
      </c>
      <c r="B30" s="34">
        <v>3</v>
      </c>
      <c r="C30" s="13" t="s">
        <v>52</v>
      </c>
      <c r="D30" s="13">
        <v>0</v>
      </c>
    </row>
    <row r="31" spans="1:4" ht="18.75" customHeight="1" x14ac:dyDescent="0.25">
      <c r="A31" s="12" t="s">
        <v>14</v>
      </c>
      <c r="B31" s="34">
        <v>3</v>
      </c>
      <c r="C31" s="13" t="s">
        <v>53</v>
      </c>
      <c r="D31" s="13">
        <v>0</v>
      </c>
    </row>
    <row r="32" spans="1:4" ht="18.75" customHeight="1" x14ac:dyDescent="0.25">
      <c r="A32" s="12" t="s">
        <v>14</v>
      </c>
      <c r="B32" s="34">
        <v>3</v>
      </c>
      <c r="C32" s="13" t="s">
        <v>54</v>
      </c>
      <c r="D32" s="13">
        <v>0</v>
      </c>
    </row>
    <row r="33" spans="1:5" ht="18.75" customHeight="1" x14ac:dyDescent="0.25">
      <c r="A33" s="12" t="s">
        <v>14</v>
      </c>
      <c r="B33" s="34">
        <v>3</v>
      </c>
      <c r="C33" s="13" t="s">
        <v>55</v>
      </c>
      <c r="D33" s="13">
        <v>0</v>
      </c>
    </row>
    <row r="34" spans="1:5" ht="18.75" customHeight="1" x14ac:dyDescent="0.25">
      <c r="A34" s="12" t="s">
        <v>14</v>
      </c>
      <c r="B34" s="34">
        <v>3</v>
      </c>
      <c r="C34" s="13" t="s">
        <v>56</v>
      </c>
      <c r="D34" s="13">
        <v>0</v>
      </c>
    </row>
    <row r="35" spans="1:5" ht="18.75" customHeight="1" x14ac:dyDescent="0.25">
      <c r="A35" s="12" t="s">
        <v>14</v>
      </c>
      <c r="B35" s="34">
        <v>3</v>
      </c>
      <c r="C35" s="13" t="s">
        <v>57</v>
      </c>
      <c r="D35" s="13">
        <v>0</v>
      </c>
    </row>
    <row r="36" spans="1:5" ht="18.75" customHeight="1" x14ac:dyDescent="0.25">
      <c r="A36" s="12" t="s">
        <v>14</v>
      </c>
      <c r="B36" s="35">
        <v>4</v>
      </c>
      <c r="C36" s="13" t="s">
        <v>47</v>
      </c>
      <c r="D36" s="13">
        <v>0</v>
      </c>
    </row>
    <row r="37" spans="1:5" ht="18.75" customHeight="1" x14ac:dyDescent="0.25">
      <c r="A37" s="12" t="s">
        <v>14</v>
      </c>
      <c r="B37" s="35">
        <v>4</v>
      </c>
      <c r="C37" s="13" t="s">
        <v>48</v>
      </c>
      <c r="D37" s="13">
        <v>0</v>
      </c>
    </row>
    <row r="38" spans="1:5" ht="18.75" customHeight="1" x14ac:dyDescent="0.25">
      <c r="A38" s="12" t="s">
        <v>14</v>
      </c>
      <c r="B38" s="35">
        <v>4</v>
      </c>
      <c r="C38" s="13" t="s">
        <v>49</v>
      </c>
      <c r="D38" s="13">
        <v>0</v>
      </c>
    </row>
    <row r="39" spans="1:5" ht="18.75" customHeight="1" x14ac:dyDescent="0.25">
      <c r="A39" s="12" t="s">
        <v>14</v>
      </c>
      <c r="B39" s="35">
        <v>4</v>
      </c>
      <c r="C39" s="13" t="s">
        <v>50</v>
      </c>
      <c r="D39" s="13">
        <v>0</v>
      </c>
    </row>
    <row r="40" spans="1:5" ht="18.75" customHeight="1" x14ac:dyDescent="0.25">
      <c r="A40" s="12" t="s">
        <v>14</v>
      </c>
      <c r="B40" s="35">
        <v>4</v>
      </c>
      <c r="C40" s="13" t="s">
        <v>51</v>
      </c>
      <c r="D40" s="13">
        <v>0</v>
      </c>
    </row>
    <row r="41" spans="1:5" ht="18.75" customHeight="1" x14ac:dyDescent="0.25">
      <c r="A41" s="12" t="s">
        <v>14</v>
      </c>
      <c r="B41" s="35">
        <v>4</v>
      </c>
      <c r="C41" s="13" t="s">
        <v>52</v>
      </c>
      <c r="D41" s="13">
        <v>0</v>
      </c>
    </row>
    <row r="42" spans="1:5" ht="18.75" customHeight="1" x14ac:dyDescent="0.25">
      <c r="A42" s="12" t="s">
        <v>14</v>
      </c>
      <c r="B42" s="35">
        <v>4</v>
      </c>
      <c r="C42" s="13" t="s">
        <v>53</v>
      </c>
      <c r="D42" s="13">
        <v>0</v>
      </c>
    </row>
    <row r="43" spans="1:5" ht="18.75" customHeight="1" x14ac:dyDescent="0.25">
      <c r="A43" s="12" t="s">
        <v>14</v>
      </c>
      <c r="B43" s="35">
        <v>4</v>
      </c>
      <c r="C43" s="13" t="s">
        <v>54</v>
      </c>
      <c r="D43" s="13">
        <v>0</v>
      </c>
    </row>
    <row r="44" spans="1:5" ht="18.75" customHeight="1" x14ac:dyDescent="0.25">
      <c r="A44" s="12" t="s">
        <v>14</v>
      </c>
      <c r="B44" s="35">
        <v>4</v>
      </c>
      <c r="C44" s="13" t="s">
        <v>55</v>
      </c>
      <c r="D44" s="13">
        <v>0</v>
      </c>
    </row>
    <row r="45" spans="1:5" ht="18.75" customHeight="1" x14ac:dyDescent="0.25">
      <c r="A45" s="12" t="s">
        <v>14</v>
      </c>
      <c r="B45" s="35">
        <v>4</v>
      </c>
      <c r="C45" s="13" t="s">
        <v>56</v>
      </c>
      <c r="D45" s="13">
        <v>0</v>
      </c>
    </row>
    <row r="46" spans="1:5" ht="18.75" customHeight="1" x14ac:dyDescent="0.25">
      <c r="A46" s="12" t="s">
        <v>14</v>
      </c>
      <c r="B46" s="35">
        <v>4</v>
      </c>
      <c r="C46" s="13" t="s">
        <v>57</v>
      </c>
      <c r="D46" s="13">
        <v>0</v>
      </c>
      <c r="E46" s="14">
        <f>SUM(D3:D46)</f>
        <v>682</v>
      </c>
    </row>
    <row r="47" spans="1:5" x14ac:dyDescent="0.25">
      <c r="A47" s="15"/>
      <c r="B47" s="36"/>
      <c r="C47" s="16"/>
      <c r="D47" s="16"/>
      <c r="E47" s="14"/>
    </row>
    <row r="48" spans="1:5" ht="18.75" customHeight="1" x14ac:dyDescent="0.25">
      <c r="A48" s="12" t="s">
        <v>31</v>
      </c>
      <c r="B48" s="32">
        <v>1</v>
      </c>
      <c r="C48" s="13" t="s">
        <v>47</v>
      </c>
      <c r="D48" s="13">
        <v>14.4</v>
      </c>
    </row>
    <row r="49" spans="1:4" ht="18.75" customHeight="1" x14ac:dyDescent="0.25">
      <c r="A49" s="12" t="s">
        <v>31</v>
      </c>
      <c r="B49" s="32">
        <v>1</v>
      </c>
      <c r="C49" s="13" t="s">
        <v>48</v>
      </c>
      <c r="D49" s="13">
        <v>14.4</v>
      </c>
    </row>
    <row r="50" spans="1:4" ht="18.75" customHeight="1" x14ac:dyDescent="0.25">
      <c r="A50" s="12" t="s">
        <v>31</v>
      </c>
      <c r="B50" s="32">
        <v>1</v>
      </c>
      <c r="C50" s="13" t="s">
        <v>49</v>
      </c>
      <c r="D50" s="13">
        <v>14.4</v>
      </c>
    </row>
    <row r="51" spans="1:4" ht="18.75" customHeight="1" x14ac:dyDescent="0.25">
      <c r="A51" s="12" t="s">
        <v>31</v>
      </c>
      <c r="B51" s="32">
        <v>1</v>
      </c>
      <c r="C51" s="13" t="s">
        <v>50</v>
      </c>
      <c r="D51" s="13">
        <v>14.4</v>
      </c>
    </row>
    <row r="52" spans="1:4" ht="18.75" customHeight="1" x14ac:dyDescent="0.25">
      <c r="A52" s="12" t="s">
        <v>31</v>
      </c>
      <c r="B52" s="32">
        <v>1</v>
      </c>
      <c r="C52" s="13" t="s">
        <v>51</v>
      </c>
      <c r="D52" s="13">
        <v>14.4</v>
      </c>
    </row>
    <row r="53" spans="1:4" ht="18.75" customHeight="1" x14ac:dyDescent="0.25">
      <c r="A53" s="12" t="s">
        <v>31</v>
      </c>
      <c r="B53" s="32">
        <v>1</v>
      </c>
      <c r="C53" s="13" t="s">
        <v>52</v>
      </c>
      <c r="D53" s="13">
        <v>14.4</v>
      </c>
    </row>
    <row r="54" spans="1:4" ht="18.75" customHeight="1" x14ac:dyDescent="0.25">
      <c r="A54" s="12" t="s">
        <v>31</v>
      </c>
      <c r="B54" s="32">
        <v>1</v>
      </c>
      <c r="C54" s="13" t="s">
        <v>53</v>
      </c>
      <c r="D54" s="13">
        <v>14.4</v>
      </c>
    </row>
    <row r="55" spans="1:4" ht="18.75" customHeight="1" x14ac:dyDescent="0.25">
      <c r="A55" s="12" t="s">
        <v>31</v>
      </c>
      <c r="B55" s="32">
        <v>1</v>
      </c>
      <c r="C55" s="13" t="s">
        <v>54</v>
      </c>
      <c r="D55" s="13">
        <v>14.4</v>
      </c>
    </row>
    <row r="56" spans="1:4" ht="18.75" customHeight="1" x14ac:dyDescent="0.25">
      <c r="A56" s="12" t="s">
        <v>31</v>
      </c>
      <c r="B56" s="32">
        <v>1</v>
      </c>
      <c r="C56" s="13" t="s">
        <v>55</v>
      </c>
      <c r="D56" s="13">
        <v>14.4</v>
      </c>
    </row>
    <row r="57" spans="1:4" ht="18.75" customHeight="1" x14ac:dyDescent="0.25">
      <c r="A57" s="12" t="s">
        <v>31</v>
      </c>
      <c r="B57" s="32">
        <v>1</v>
      </c>
      <c r="C57" s="13" t="s">
        <v>56</v>
      </c>
      <c r="D57" s="13">
        <v>14.4</v>
      </c>
    </row>
    <row r="58" spans="1:4" ht="18.75" customHeight="1" x14ac:dyDescent="0.25">
      <c r="A58" s="12" t="s">
        <v>31</v>
      </c>
      <c r="B58" s="32">
        <v>1</v>
      </c>
      <c r="C58" s="13" t="s">
        <v>57</v>
      </c>
      <c r="D58" s="13">
        <v>14.4</v>
      </c>
    </row>
    <row r="59" spans="1:4" ht="18.75" customHeight="1" x14ac:dyDescent="0.25">
      <c r="A59" s="12" t="s">
        <v>31</v>
      </c>
      <c r="B59" s="33">
        <v>2</v>
      </c>
      <c r="C59" s="13" t="s">
        <v>47</v>
      </c>
      <c r="D59" s="13">
        <v>14.4</v>
      </c>
    </row>
    <row r="60" spans="1:4" ht="18.75" customHeight="1" x14ac:dyDescent="0.25">
      <c r="A60" s="12" t="s">
        <v>31</v>
      </c>
      <c r="B60" s="33">
        <v>2</v>
      </c>
      <c r="C60" s="13" t="s">
        <v>48</v>
      </c>
      <c r="D60" s="13">
        <v>14.4</v>
      </c>
    </row>
    <row r="61" spans="1:4" ht="18.75" customHeight="1" x14ac:dyDescent="0.25">
      <c r="A61" s="12" t="s">
        <v>31</v>
      </c>
      <c r="B61" s="33">
        <v>2</v>
      </c>
      <c r="C61" s="13" t="s">
        <v>49</v>
      </c>
      <c r="D61" s="13">
        <v>14.4</v>
      </c>
    </row>
    <row r="62" spans="1:4" ht="18.75" customHeight="1" x14ac:dyDescent="0.25">
      <c r="A62" s="12" t="s">
        <v>31</v>
      </c>
      <c r="B62" s="33">
        <v>2</v>
      </c>
      <c r="C62" s="13" t="s">
        <v>50</v>
      </c>
      <c r="D62" s="13">
        <v>14.4</v>
      </c>
    </row>
    <row r="63" spans="1:4" ht="18.75" customHeight="1" x14ac:dyDescent="0.25">
      <c r="A63" s="12" t="s">
        <v>31</v>
      </c>
      <c r="B63" s="33">
        <v>2</v>
      </c>
      <c r="C63" s="13" t="s">
        <v>51</v>
      </c>
      <c r="D63" s="13">
        <v>14.4</v>
      </c>
    </row>
    <row r="64" spans="1:4" ht="18.75" customHeight="1" x14ac:dyDescent="0.25">
      <c r="A64" s="12" t="s">
        <v>31</v>
      </c>
      <c r="B64" s="33">
        <v>2</v>
      </c>
      <c r="C64" s="13" t="s">
        <v>52</v>
      </c>
      <c r="D64" s="13">
        <v>14.4</v>
      </c>
    </row>
    <row r="65" spans="1:4" ht="18.75" customHeight="1" x14ac:dyDescent="0.25">
      <c r="A65" s="12" t="s">
        <v>31</v>
      </c>
      <c r="B65" s="33">
        <v>2</v>
      </c>
      <c r="C65" s="13" t="s">
        <v>53</v>
      </c>
      <c r="D65" s="13">
        <v>14.4</v>
      </c>
    </row>
    <row r="66" spans="1:4" ht="18.75" customHeight="1" x14ac:dyDescent="0.25">
      <c r="A66" s="12" t="s">
        <v>31</v>
      </c>
      <c r="B66" s="33">
        <v>2</v>
      </c>
      <c r="C66" s="13" t="s">
        <v>54</v>
      </c>
      <c r="D66" s="13">
        <v>14.4</v>
      </c>
    </row>
    <row r="67" spans="1:4" ht="18.75" customHeight="1" x14ac:dyDescent="0.25">
      <c r="A67" s="12" t="s">
        <v>31</v>
      </c>
      <c r="B67" s="33">
        <v>2</v>
      </c>
      <c r="C67" s="13" t="s">
        <v>55</v>
      </c>
      <c r="D67" s="13">
        <v>14.4</v>
      </c>
    </row>
    <row r="68" spans="1:4" ht="18.75" customHeight="1" x14ac:dyDescent="0.25">
      <c r="A68" s="12" t="s">
        <v>31</v>
      </c>
      <c r="B68" s="33">
        <v>2</v>
      </c>
      <c r="C68" s="13" t="s">
        <v>56</v>
      </c>
      <c r="D68" s="13">
        <v>14.4</v>
      </c>
    </row>
    <row r="69" spans="1:4" ht="18.75" customHeight="1" x14ac:dyDescent="0.25">
      <c r="A69" s="12" t="s">
        <v>31</v>
      </c>
      <c r="B69" s="33">
        <v>2</v>
      </c>
      <c r="C69" s="13" t="s">
        <v>57</v>
      </c>
      <c r="D69" s="13">
        <v>14.4</v>
      </c>
    </row>
    <row r="70" spans="1:4" ht="18.75" customHeight="1" x14ac:dyDescent="0.25">
      <c r="A70" s="12" t="s">
        <v>31</v>
      </c>
      <c r="B70" s="34">
        <v>3</v>
      </c>
      <c r="C70" s="13" t="s">
        <v>47</v>
      </c>
      <c r="D70" s="13">
        <v>10.3</v>
      </c>
    </row>
    <row r="71" spans="1:4" ht="18.75" customHeight="1" x14ac:dyDescent="0.25">
      <c r="A71" s="12" t="s">
        <v>31</v>
      </c>
      <c r="B71" s="34">
        <v>3</v>
      </c>
      <c r="C71" s="13" t="s">
        <v>48</v>
      </c>
      <c r="D71" s="13">
        <v>10.3</v>
      </c>
    </row>
    <row r="72" spans="1:4" ht="18.75" customHeight="1" x14ac:dyDescent="0.25">
      <c r="A72" s="12" t="s">
        <v>31</v>
      </c>
      <c r="B72" s="34">
        <v>3</v>
      </c>
      <c r="C72" s="13" t="s">
        <v>49</v>
      </c>
      <c r="D72" s="13">
        <v>10.3</v>
      </c>
    </row>
    <row r="73" spans="1:4" ht="18.75" customHeight="1" x14ac:dyDescent="0.25">
      <c r="A73" s="12" t="s">
        <v>31</v>
      </c>
      <c r="B73" s="34">
        <v>3</v>
      </c>
      <c r="C73" s="13" t="s">
        <v>50</v>
      </c>
      <c r="D73" s="13">
        <v>10.3</v>
      </c>
    </row>
    <row r="74" spans="1:4" ht="18.75" customHeight="1" x14ac:dyDescent="0.25">
      <c r="A74" s="12" t="s">
        <v>31</v>
      </c>
      <c r="B74" s="34">
        <v>3</v>
      </c>
      <c r="C74" s="13" t="s">
        <v>51</v>
      </c>
      <c r="D74" s="13">
        <v>10.3</v>
      </c>
    </row>
    <row r="75" spans="1:4" ht="18.75" customHeight="1" x14ac:dyDescent="0.25">
      <c r="A75" s="12" t="s">
        <v>31</v>
      </c>
      <c r="B75" s="34">
        <v>3</v>
      </c>
      <c r="C75" s="13" t="s">
        <v>52</v>
      </c>
      <c r="D75" s="13">
        <v>10.3</v>
      </c>
    </row>
    <row r="76" spans="1:4" ht="18.75" customHeight="1" x14ac:dyDescent="0.25">
      <c r="A76" s="12" t="s">
        <v>31</v>
      </c>
      <c r="B76" s="34">
        <v>3</v>
      </c>
      <c r="C76" s="13" t="s">
        <v>53</v>
      </c>
      <c r="D76" s="13">
        <v>10.3</v>
      </c>
    </row>
    <row r="77" spans="1:4" ht="18.75" customHeight="1" x14ac:dyDescent="0.25">
      <c r="A77" s="12" t="s">
        <v>31</v>
      </c>
      <c r="B77" s="34">
        <v>3</v>
      </c>
      <c r="C77" s="13" t="s">
        <v>54</v>
      </c>
      <c r="D77" s="13">
        <v>10.3</v>
      </c>
    </row>
    <row r="78" spans="1:4" ht="18.75" customHeight="1" x14ac:dyDescent="0.25">
      <c r="A78" s="12" t="s">
        <v>31</v>
      </c>
      <c r="B78" s="34">
        <v>3</v>
      </c>
      <c r="C78" s="13" t="s">
        <v>55</v>
      </c>
      <c r="D78" s="13">
        <v>10.3</v>
      </c>
    </row>
    <row r="79" spans="1:4" ht="18.75" customHeight="1" x14ac:dyDescent="0.25">
      <c r="A79" s="12" t="s">
        <v>31</v>
      </c>
      <c r="B79" s="34">
        <v>3</v>
      </c>
      <c r="C79" s="13" t="s">
        <v>56</v>
      </c>
      <c r="D79" s="13">
        <v>10.3</v>
      </c>
    </row>
    <row r="80" spans="1:4" ht="18.75" customHeight="1" x14ac:dyDescent="0.25">
      <c r="A80" s="12" t="s">
        <v>31</v>
      </c>
      <c r="B80" s="34">
        <v>3</v>
      </c>
      <c r="C80" s="13" t="s">
        <v>57</v>
      </c>
      <c r="D80" s="13">
        <v>10.3</v>
      </c>
    </row>
    <row r="81" spans="1:5" ht="18.75" customHeight="1" x14ac:dyDescent="0.25">
      <c r="A81" s="12" t="s">
        <v>31</v>
      </c>
      <c r="B81" s="35">
        <v>4</v>
      </c>
      <c r="C81" s="13" t="s">
        <v>47</v>
      </c>
      <c r="D81" s="13">
        <v>8.1</v>
      </c>
    </row>
    <row r="82" spans="1:5" ht="18.75" customHeight="1" x14ac:dyDescent="0.25">
      <c r="A82" s="12" t="s">
        <v>31</v>
      </c>
      <c r="B82" s="35">
        <v>4</v>
      </c>
      <c r="C82" s="13" t="s">
        <v>48</v>
      </c>
      <c r="D82" s="13">
        <v>8.1</v>
      </c>
    </row>
    <row r="83" spans="1:5" ht="18.75" customHeight="1" x14ac:dyDescent="0.25">
      <c r="A83" s="12" t="s">
        <v>31</v>
      </c>
      <c r="B83" s="35">
        <v>4</v>
      </c>
      <c r="C83" s="13" t="s">
        <v>49</v>
      </c>
      <c r="D83" s="13">
        <v>8.1</v>
      </c>
    </row>
    <row r="84" spans="1:5" ht="18.75" customHeight="1" x14ac:dyDescent="0.25">
      <c r="A84" s="12" t="s">
        <v>31</v>
      </c>
      <c r="B84" s="35">
        <v>4</v>
      </c>
      <c r="C84" s="13" t="s">
        <v>50</v>
      </c>
      <c r="D84" s="13">
        <v>8.1</v>
      </c>
    </row>
    <row r="85" spans="1:5" ht="18.75" customHeight="1" x14ac:dyDescent="0.25">
      <c r="A85" s="12" t="s">
        <v>31</v>
      </c>
      <c r="B85" s="35">
        <v>4</v>
      </c>
      <c r="C85" s="13" t="s">
        <v>51</v>
      </c>
      <c r="D85" s="13">
        <v>8.1</v>
      </c>
    </row>
    <row r="86" spans="1:5" ht="18.75" customHeight="1" x14ac:dyDescent="0.25">
      <c r="A86" s="12" t="s">
        <v>31</v>
      </c>
      <c r="B86" s="35">
        <v>4</v>
      </c>
      <c r="C86" s="13" t="s">
        <v>52</v>
      </c>
      <c r="D86" s="13">
        <v>8.1</v>
      </c>
    </row>
    <row r="87" spans="1:5" ht="18.75" customHeight="1" x14ac:dyDescent="0.25">
      <c r="A87" s="12" t="s">
        <v>31</v>
      </c>
      <c r="B87" s="35">
        <v>4</v>
      </c>
      <c r="C87" s="13" t="s">
        <v>53</v>
      </c>
      <c r="D87" s="13">
        <v>8.1</v>
      </c>
    </row>
    <row r="88" spans="1:5" ht="18.75" customHeight="1" x14ac:dyDescent="0.25">
      <c r="A88" s="12" t="s">
        <v>31</v>
      </c>
      <c r="B88" s="35">
        <v>4</v>
      </c>
      <c r="C88" s="13" t="s">
        <v>54</v>
      </c>
      <c r="D88" s="13">
        <v>8.1</v>
      </c>
    </row>
    <row r="89" spans="1:5" ht="18.75" customHeight="1" x14ac:dyDescent="0.25">
      <c r="A89" s="12" t="s">
        <v>31</v>
      </c>
      <c r="B89" s="35">
        <v>4</v>
      </c>
      <c r="C89" s="13" t="s">
        <v>55</v>
      </c>
      <c r="D89" s="13">
        <v>8.1</v>
      </c>
    </row>
    <row r="90" spans="1:5" ht="18.75" customHeight="1" x14ac:dyDescent="0.25">
      <c r="A90" s="12" t="s">
        <v>31</v>
      </c>
      <c r="B90" s="35">
        <v>4</v>
      </c>
      <c r="C90" s="13" t="s">
        <v>56</v>
      </c>
      <c r="D90" s="13">
        <v>8.1</v>
      </c>
    </row>
    <row r="91" spans="1:5" ht="18.75" customHeight="1" x14ac:dyDescent="0.25">
      <c r="A91" s="12" t="s">
        <v>31</v>
      </c>
      <c r="B91" s="35">
        <v>4</v>
      </c>
      <c r="C91" s="13" t="s">
        <v>57</v>
      </c>
      <c r="D91" s="13">
        <v>8.1</v>
      </c>
      <c r="E91" s="14">
        <f>SUM(D48:D91)</f>
        <v>519.20000000000027</v>
      </c>
    </row>
    <row r="92" spans="1:5" x14ac:dyDescent="0.25">
      <c r="A92" s="15"/>
      <c r="B92" s="36"/>
      <c r="C92" s="16"/>
      <c r="D92" s="16"/>
    </row>
    <row r="93" spans="1:5" ht="18.75" customHeight="1" x14ac:dyDescent="0.25">
      <c r="A93" s="12" t="s">
        <v>9</v>
      </c>
      <c r="B93" s="32">
        <v>1</v>
      </c>
      <c r="C93" s="13" t="s">
        <v>47</v>
      </c>
      <c r="D93" s="13">
        <v>14.4</v>
      </c>
    </row>
    <row r="94" spans="1:5" ht="18.75" customHeight="1" x14ac:dyDescent="0.25">
      <c r="A94" s="12" t="s">
        <v>9</v>
      </c>
      <c r="B94" s="32">
        <v>1</v>
      </c>
      <c r="C94" s="13" t="s">
        <v>48</v>
      </c>
      <c r="D94" s="13">
        <v>14.4</v>
      </c>
    </row>
    <row r="95" spans="1:5" ht="18.75" customHeight="1" x14ac:dyDescent="0.25">
      <c r="A95" s="12" t="s">
        <v>9</v>
      </c>
      <c r="B95" s="32">
        <v>1</v>
      </c>
      <c r="C95" s="13" t="s">
        <v>49</v>
      </c>
      <c r="D95" s="13">
        <v>14.4</v>
      </c>
    </row>
    <row r="96" spans="1:5" ht="18.75" customHeight="1" x14ac:dyDescent="0.25">
      <c r="A96" s="12" t="s">
        <v>9</v>
      </c>
      <c r="B96" s="32">
        <v>1</v>
      </c>
      <c r="C96" s="13" t="s">
        <v>50</v>
      </c>
      <c r="D96" s="13">
        <v>14.4</v>
      </c>
    </row>
    <row r="97" spans="1:4" ht="18.75" customHeight="1" x14ac:dyDescent="0.25">
      <c r="A97" s="12" t="s">
        <v>9</v>
      </c>
      <c r="B97" s="32">
        <v>1</v>
      </c>
      <c r="C97" s="13" t="s">
        <v>51</v>
      </c>
      <c r="D97" s="13">
        <v>14.4</v>
      </c>
    </row>
    <row r="98" spans="1:4" ht="18.75" customHeight="1" x14ac:dyDescent="0.25">
      <c r="A98" s="12" t="s">
        <v>9</v>
      </c>
      <c r="B98" s="32">
        <v>1</v>
      </c>
      <c r="C98" s="13" t="s">
        <v>52</v>
      </c>
      <c r="D98" s="13">
        <v>14.4</v>
      </c>
    </row>
    <row r="99" spans="1:4" ht="18.75" customHeight="1" x14ac:dyDescent="0.25">
      <c r="A99" s="12" t="s">
        <v>9</v>
      </c>
      <c r="B99" s="32">
        <v>1</v>
      </c>
      <c r="C99" s="13" t="s">
        <v>53</v>
      </c>
      <c r="D99" s="13">
        <v>14.4</v>
      </c>
    </row>
    <row r="100" spans="1:4" ht="18.75" customHeight="1" x14ac:dyDescent="0.25">
      <c r="A100" s="12" t="s">
        <v>9</v>
      </c>
      <c r="B100" s="32">
        <v>1</v>
      </c>
      <c r="C100" s="13" t="s">
        <v>54</v>
      </c>
      <c r="D100" s="13">
        <v>14.4</v>
      </c>
    </row>
    <row r="101" spans="1:4" ht="18.75" customHeight="1" x14ac:dyDescent="0.25">
      <c r="A101" s="12" t="s">
        <v>9</v>
      </c>
      <c r="B101" s="32">
        <v>1</v>
      </c>
      <c r="C101" s="13" t="s">
        <v>55</v>
      </c>
      <c r="D101" s="13">
        <v>14.4</v>
      </c>
    </row>
    <row r="102" spans="1:4" ht="18.75" customHeight="1" x14ac:dyDescent="0.25">
      <c r="A102" s="12" t="s">
        <v>9</v>
      </c>
      <c r="B102" s="32">
        <v>1</v>
      </c>
      <c r="C102" s="13" t="s">
        <v>56</v>
      </c>
      <c r="D102" s="13">
        <v>14.4</v>
      </c>
    </row>
    <row r="103" spans="1:4" ht="18.75" customHeight="1" x14ac:dyDescent="0.25">
      <c r="A103" s="12" t="s">
        <v>9</v>
      </c>
      <c r="B103" s="32">
        <v>1</v>
      </c>
      <c r="C103" s="13" t="s">
        <v>57</v>
      </c>
      <c r="D103" s="13">
        <v>14.4</v>
      </c>
    </row>
    <row r="104" spans="1:4" ht="18.75" customHeight="1" x14ac:dyDescent="0.25">
      <c r="A104" s="12" t="s">
        <v>9</v>
      </c>
      <c r="B104" s="33">
        <v>2</v>
      </c>
      <c r="C104" s="13" t="s">
        <v>47</v>
      </c>
      <c r="D104" s="13">
        <v>8.1</v>
      </c>
    </row>
    <row r="105" spans="1:4" ht="18.75" customHeight="1" x14ac:dyDescent="0.25">
      <c r="A105" s="12" t="s">
        <v>9</v>
      </c>
      <c r="B105" s="33">
        <v>2</v>
      </c>
      <c r="C105" s="13" t="s">
        <v>48</v>
      </c>
      <c r="D105" s="13">
        <v>8.1</v>
      </c>
    </row>
    <row r="106" spans="1:4" ht="18.75" customHeight="1" x14ac:dyDescent="0.25">
      <c r="A106" s="12" t="s">
        <v>9</v>
      </c>
      <c r="B106" s="33">
        <v>2</v>
      </c>
      <c r="C106" s="13" t="s">
        <v>49</v>
      </c>
      <c r="D106" s="13">
        <v>8.1</v>
      </c>
    </row>
    <row r="107" spans="1:4" ht="18.75" customHeight="1" x14ac:dyDescent="0.25">
      <c r="A107" s="12" t="s">
        <v>9</v>
      </c>
      <c r="B107" s="33">
        <v>2</v>
      </c>
      <c r="C107" s="13" t="s">
        <v>50</v>
      </c>
      <c r="D107" s="13">
        <v>8.1</v>
      </c>
    </row>
    <row r="108" spans="1:4" ht="18.75" customHeight="1" x14ac:dyDescent="0.25">
      <c r="A108" s="12" t="s">
        <v>9</v>
      </c>
      <c r="B108" s="33">
        <v>2</v>
      </c>
      <c r="C108" s="13" t="s">
        <v>51</v>
      </c>
      <c r="D108" s="13">
        <v>8.1</v>
      </c>
    </row>
    <row r="109" spans="1:4" ht="18.75" customHeight="1" x14ac:dyDescent="0.25">
      <c r="A109" s="12" t="s">
        <v>9</v>
      </c>
      <c r="B109" s="33">
        <v>2</v>
      </c>
      <c r="C109" s="13" t="s">
        <v>52</v>
      </c>
      <c r="D109" s="13">
        <v>8.1</v>
      </c>
    </row>
    <row r="110" spans="1:4" ht="18.75" customHeight="1" x14ac:dyDescent="0.25">
      <c r="A110" s="12" t="s">
        <v>9</v>
      </c>
      <c r="B110" s="33">
        <v>2</v>
      </c>
      <c r="C110" s="13" t="s">
        <v>53</v>
      </c>
      <c r="D110" s="13">
        <v>8.1</v>
      </c>
    </row>
    <row r="111" spans="1:4" ht="18.75" customHeight="1" x14ac:dyDescent="0.25">
      <c r="A111" s="12" t="s">
        <v>9</v>
      </c>
      <c r="B111" s="33">
        <v>2</v>
      </c>
      <c r="C111" s="13" t="s">
        <v>54</v>
      </c>
      <c r="D111" s="13">
        <v>8.1</v>
      </c>
    </row>
    <row r="112" spans="1:4" ht="18.75" customHeight="1" x14ac:dyDescent="0.25">
      <c r="A112" s="12" t="s">
        <v>9</v>
      </c>
      <c r="B112" s="33">
        <v>2</v>
      </c>
      <c r="C112" s="13" t="s">
        <v>55</v>
      </c>
      <c r="D112" s="13">
        <v>8.1</v>
      </c>
    </row>
    <row r="113" spans="1:16" ht="18.75" customHeight="1" x14ac:dyDescent="0.25">
      <c r="A113" s="12" t="s">
        <v>9</v>
      </c>
      <c r="B113" s="33">
        <v>2</v>
      </c>
      <c r="C113" s="13" t="s">
        <v>56</v>
      </c>
      <c r="D113" s="13">
        <v>8.1</v>
      </c>
      <c r="P113" s="13">
        <v>8.1</v>
      </c>
    </row>
    <row r="114" spans="1:16" ht="18.75" customHeight="1" x14ac:dyDescent="0.25">
      <c r="A114" s="12" t="s">
        <v>9</v>
      </c>
      <c r="B114" s="33">
        <v>2</v>
      </c>
      <c r="C114" s="13" t="s">
        <v>57</v>
      </c>
      <c r="D114" s="13">
        <v>8.1</v>
      </c>
      <c r="P114" s="13">
        <v>8.1</v>
      </c>
    </row>
    <row r="115" spans="1:16" ht="18.75" customHeight="1" x14ac:dyDescent="0.25">
      <c r="A115" s="12" t="s">
        <v>9</v>
      </c>
      <c r="B115" s="34">
        <v>3</v>
      </c>
      <c r="C115" s="13" t="s">
        <v>47</v>
      </c>
      <c r="D115" s="13">
        <v>8.1</v>
      </c>
      <c r="P115" s="13">
        <v>8.1</v>
      </c>
    </row>
    <row r="116" spans="1:16" ht="18.75" customHeight="1" x14ac:dyDescent="0.25">
      <c r="A116" s="12" t="s">
        <v>9</v>
      </c>
      <c r="B116" s="34">
        <v>3</v>
      </c>
      <c r="C116" s="13" t="s">
        <v>48</v>
      </c>
      <c r="D116" s="13">
        <v>8.1</v>
      </c>
      <c r="P116" s="13">
        <v>8.1</v>
      </c>
    </row>
    <row r="117" spans="1:16" ht="18.75" customHeight="1" x14ac:dyDescent="0.25">
      <c r="A117" s="12" t="s">
        <v>9</v>
      </c>
      <c r="B117" s="34">
        <v>3</v>
      </c>
      <c r="C117" s="13" t="s">
        <v>49</v>
      </c>
      <c r="D117" s="13">
        <v>8.1</v>
      </c>
      <c r="P117" s="13">
        <v>8.1</v>
      </c>
    </row>
    <row r="118" spans="1:16" ht="18.75" customHeight="1" x14ac:dyDescent="0.25">
      <c r="A118" s="12" t="s">
        <v>9</v>
      </c>
      <c r="B118" s="34">
        <v>3</v>
      </c>
      <c r="C118" s="13" t="s">
        <v>50</v>
      </c>
      <c r="D118" s="13">
        <v>8.1</v>
      </c>
      <c r="P118" s="13">
        <v>8.1</v>
      </c>
    </row>
    <row r="119" spans="1:16" ht="18.75" customHeight="1" x14ac:dyDescent="0.25">
      <c r="A119" s="12" t="s">
        <v>9</v>
      </c>
      <c r="B119" s="34">
        <v>3</v>
      </c>
      <c r="C119" s="13" t="s">
        <v>51</v>
      </c>
      <c r="D119" s="13">
        <v>8.1</v>
      </c>
      <c r="P119" s="13">
        <v>8.1</v>
      </c>
    </row>
    <row r="120" spans="1:16" ht="18.75" customHeight="1" x14ac:dyDescent="0.25">
      <c r="A120" s="12" t="s">
        <v>9</v>
      </c>
      <c r="B120" s="34">
        <v>3</v>
      </c>
      <c r="C120" s="13" t="s">
        <v>52</v>
      </c>
      <c r="D120" s="13">
        <v>8.1</v>
      </c>
      <c r="P120" s="13">
        <v>8.1</v>
      </c>
    </row>
    <row r="121" spans="1:16" ht="18.75" customHeight="1" x14ac:dyDescent="0.25">
      <c r="A121" s="12" t="s">
        <v>9</v>
      </c>
      <c r="B121" s="34">
        <v>3</v>
      </c>
      <c r="C121" s="13" t="s">
        <v>53</v>
      </c>
      <c r="D121" s="13">
        <v>8.1</v>
      </c>
      <c r="P121" s="13">
        <v>8.1</v>
      </c>
    </row>
    <row r="122" spans="1:16" ht="18.75" customHeight="1" x14ac:dyDescent="0.25">
      <c r="A122" s="12" t="s">
        <v>9</v>
      </c>
      <c r="B122" s="34">
        <v>3</v>
      </c>
      <c r="C122" s="13" t="s">
        <v>54</v>
      </c>
      <c r="D122" s="13">
        <v>8.1</v>
      </c>
      <c r="P122" s="13">
        <v>8.1</v>
      </c>
    </row>
    <row r="123" spans="1:16" ht="18.75" customHeight="1" x14ac:dyDescent="0.25">
      <c r="A123" s="12" t="s">
        <v>9</v>
      </c>
      <c r="B123" s="34">
        <v>3</v>
      </c>
      <c r="C123" s="13" t="s">
        <v>55</v>
      </c>
      <c r="D123" s="13">
        <v>8.1</v>
      </c>
      <c r="P123" s="13">
        <v>8.1</v>
      </c>
    </row>
    <row r="124" spans="1:16" ht="18.75" customHeight="1" x14ac:dyDescent="0.25">
      <c r="A124" s="12" t="s">
        <v>9</v>
      </c>
      <c r="B124" s="34">
        <v>3</v>
      </c>
      <c r="C124" s="13" t="s">
        <v>56</v>
      </c>
      <c r="D124" s="13">
        <v>8.1</v>
      </c>
    </row>
    <row r="125" spans="1:16" ht="18.75" customHeight="1" x14ac:dyDescent="0.25">
      <c r="A125" s="12" t="s">
        <v>9</v>
      </c>
      <c r="B125" s="34">
        <v>3</v>
      </c>
      <c r="C125" s="13" t="s">
        <v>57</v>
      </c>
      <c r="D125" s="13">
        <v>8.1</v>
      </c>
    </row>
    <row r="126" spans="1:16" ht="18.75" customHeight="1" x14ac:dyDescent="0.25">
      <c r="A126" s="12" t="s">
        <v>9</v>
      </c>
      <c r="B126" s="35">
        <v>4</v>
      </c>
      <c r="C126" s="13" t="s">
        <v>47</v>
      </c>
      <c r="D126" s="13">
        <v>14.4</v>
      </c>
    </row>
    <row r="127" spans="1:16" ht="18.75" customHeight="1" x14ac:dyDescent="0.25">
      <c r="A127" s="12" t="s">
        <v>9</v>
      </c>
      <c r="B127" s="35">
        <v>4</v>
      </c>
      <c r="C127" s="13" t="s">
        <v>48</v>
      </c>
      <c r="D127" s="13">
        <v>14.4</v>
      </c>
    </row>
    <row r="128" spans="1:16" ht="18.75" customHeight="1" x14ac:dyDescent="0.25">
      <c r="A128" s="12" t="s">
        <v>9</v>
      </c>
      <c r="B128" s="35">
        <v>4</v>
      </c>
      <c r="C128" s="13" t="s">
        <v>49</v>
      </c>
      <c r="D128" s="13">
        <v>14.4</v>
      </c>
    </row>
    <row r="129" spans="1:5" ht="18.75" customHeight="1" x14ac:dyDescent="0.25">
      <c r="A129" s="12" t="s">
        <v>9</v>
      </c>
      <c r="B129" s="35">
        <v>4</v>
      </c>
      <c r="C129" s="13" t="s">
        <v>50</v>
      </c>
      <c r="D129" s="13">
        <v>14.4</v>
      </c>
    </row>
    <row r="130" spans="1:5" ht="18.75" customHeight="1" x14ac:dyDescent="0.25">
      <c r="A130" s="12" t="s">
        <v>9</v>
      </c>
      <c r="B130" s="35">
        <v>4</v>
      </c>
      <c r="C130" s="13" t="s">
        <v>51</v>
      </c>
      <c r="D130" s="13">
        <v>14.4</v>
      </c>
    </row>
    <row r="131" spans="1:5" ht="18.75" customHeight="1" x14ac:dyDescent="0.25">
      <c r="A131" s="12" t="s">
        <v>9</v>
      </c>
      <c r="B131" s="35">
        <v>4</v>
      </c>
      <c r="C131" s="13" t="s">
        <v>52</v>
      </c>
      <c r="D131" s="13">
        <v>14.4</v>
      </c>
    </row>
    <row r="132" spans="1:5" ht="18.75" customHeight="1" x14ac:dyDescent="0.25">
      <c r="A132" s="12" t="s">
        <v>9</v>
      </c>
      <c r="B132" s="35">
        <v>4</v>
      </c>
      <c r="C132" s="13" t="s">
        <v>53</v>
      </c>
      <c r="D132" s="13">
        <v>14.4</v>
      </c>
    </row>
    <row r="133" spans="1:5" ht="18.75" customHeight="1" x14ac:dyDescent="0.25">
      <c r="A133" s="12" t="s">
        <v>9</v>
      </c>
      <c r="B133" s="35">
        <v>4</v>
      </c>
      <c r="C133" s="13" t="s">
        <v>54</v>
      </c>
      <c r="D133" s="13">
        <v>14.4</v>
      </c>
    </row>
    <row r="134" spans="1:5" ht="18.75" customHeight="1" x14ac:dyDescent="0.25">
      <c r="A134" s="12" t="s">
        <v>9</v>
      </c>
      <c r="B134" s="35">
        <v>4</v>
      </c>
      <c r="C134" s="13" t="s">
        <v>55</v>
      </c>
      <c r="D134" s="13">
        <v>14.4</v>
      </c>
    </row>
    <row r="135" spans="1:5" ht="18.75" customHeight="1" x14ac:dyDescent="0.25">
      <c r="A135" s="12" t="s">
        <v>9</v>
      </c>
      <c r="B135" s="35">
        <v>4</v>
      </c>
      <c r="C135" s="13" t="s">
        <v>56</v>
      </c>
      <c r="D135" s="13">
        <v>14.4</v>
      </c>
    </row>
    <row r="136" spans="1:5" ht="18.75" customHeight="1" x14ac:dyDescent="0.25">
      <c r="A136" s="12" t="s">
        <v>9</v>
      </c>
      <c r="B136" s="35">
        <v>4</v>
      </c>
      <c r="C136" s="13" t="s">
        <v>57</v>
      </c>
      <c r="D136" s="13">
        <v>14.4</v>
      </c>
      <c r="E136" s="14">
        <f>SUM(D93:D136)</f>
        <v>494.99999999999994</v>
      </c>
    </row>
    <row r="137" spans="1:5" x14ac:dyDescent="0.25">
      <c r="A137" s="15"/>
      <c r="B137" s="36"/>
      <c r="C137" s="16"/>
      <c r="D137" s="16"/>
    </row>
    <row r="138" spans="1:5" ht="18.75" customHeight="1" x14ac:dyDescent="0.25">
      <c r="A138" s="12" t="s">
        <v>33</v>
      </c>
      <c r="B138" s="32">
        <v>1</v>
      </c>
      <c r="C138" s="13" t="s">
        <v>47</v>
      </c>
      <c r="D138" s="13">
        <v>50</v>
      </c>
    </row>
    <row r="139" spans="1:5" ht="18.75" customHeight="1" x14ac:dyDescent="0.25">
      <c r="A139" s="12" t="s">
        <v>33</v>
      </c>
      <c r="B139" s="32">
        <v>1</v>
      </c>
      <c r="C139" s="13" t="s">
        <v>48</v>
      </c>
      <c r="D139" s="13">
        <v>50</v>
      </c>
    </row>
    <row r="140" spans="1:5" ht="18.75" customHeight="1" x14ac:dyDescent="0.25">
      <c r="A140" s="12" t="s">
        <v>33</v>
      </c>
      <c r="B140" s="32">
        <v>1</v>
      </c>
      <c r="C140" s="13" t="s">
        <v>49</v>
      </c>
      <c r="D140" s="13">
        <v>50</v>
      </c>
    </row>
    <row r="141" spans="1:5" ht="18.75" customHeight="1" x14ac:dyDescent="0.25">
      <c r="A141" s="12" t="s">
        <v>33</v>
      </c>
      <c r="B141" s="32">
        <v>1</v>
      </c>
      <c r="C141" s="13" t="s">
        <v>50</v>
      </c>
      <c r="D141" s="13">
        <v>50</v>
      </c>
    </row>
    <row r="142" spans="1:5" ht="18.75" customHeight="1" x14ac:dyDescent="0.25">
      <c r="A142" s="12" t="s">
        <v>33</v>
      </c>
      <c r="B142" s="32">
        <v>1</v>
      </c>
      <c r="C142" s="13" t="s">
        <v>51</v>
      </c>
      <c r="D142" s="13">
        <v>50</v>
      </c>
    </row>
    <row r="143" spans="1:5" ht="18.75" customHeight="1" x14ac:dyDescent="0.25">
      <c r="A143" s="12" t="s">
        <v>33</v>
      </c>
      <c r="B143" s="32">
        <v>1</v>
      </c>
      <c r="C143" s="13" t="s">
        <v>52</v>
      </c>
      <c r="D143" s="13">
        <v>50</v>
      </c>
    </row>
    <row r="144" spans="1:5" ht="18.75" customHeight="1" x14ac:dyDescent="0.25">
      <c r="A144" s="12" t="s">
        <v>33</v>
      </c>
      <c r="B144" s="32">
        <v>1</v>
      </c>
      <c r="C144" s="13" t="s">
        <v>53</v>
      </c>
      <c r="D144" s="13">
        <v>50</v>
      </c>
    </row>
    <row r="145" spans="1:4" ht="18.75" customHeight="1" x14ac:dyDescent="0.25">
      <c r="A145" s="12" t="s">
        <v>33</v>
      </c>
      <c r="B145" s="32">
        <v>1</v>
      </c>
      <c r="C145" s="13" t="s">
        <v>54</v>
      </c>
      <c r="D145" s="13">
        <v>50</v>
      </c>
    </row>
    <row r="146" spans="1:4" ht="18.75" customHeight="1" x14ac:dyDescent="0.25">
      <c r="A146" s="12" t="s">
        <v>33</v>
      </c>
      <c r="B146" s="32">
        <v>1</v>
      </c>
      <c r="C146" s="13" t="s">
        <v>55</v>
      </c>
      <c r="D146" s="13">
        <v>23.1</v>
      </c>
    </row>
    <row r="147" spans="1:4" ht="18.75" customHeight="1" x14ac:dyDescent="0.25">
      <c r="A147" s="12" t="s">
        <v>33</v>
      </c>
      <c r="B147" s="32">
        <v>1</v>
      </c>
      <c r="C147" s="13" t="s">
        <v>56</v>
      </c>
      <c r="D147" s="13">
        <v>23.1</v>
      </c>
    </row>
    <row r="148" spans="1:4" ht="18.75" customHeight="1" x14ac:dyDescent="0.25">
      <c r="A148" s="12" t="s">
        <v>33</v>
      </c>
      <c r="B148" s="32">
        <v>1</v>
      </c>
      <c r="C148" s="13" t="s">
        <v>57</v>
      </c>
      <c r="D148" s="13">
        <v>23.1</v>
      </c>
    </row>
    <row r="149" spans="1:4" ht="18.75" customHeight="1" x14ac:dyDescent="0.25">
      <c r="A149" s="12" t="s">
        <v>33</v>
      </c>
      <c r="B149" s="33">
        <v>2</v>
      </c>
      <c r="C149" s="13" t="s">
        <v>47</v>
      </c>
      <c r="D149" s="13">
        <v>23.1</v>
      </c>
    </row>
    <row r="150" spans="1:4" ht="18.75" customHeight="1" x14ac:dyDescent="0.25">
      <c r="A150" s="12" t="s">
        <v>33</v>
      </c>
      <c r="B150" s="33">
        <v>2</v>
      </c>
      <c r="C150" s="13" t="s">
        <v>48</v>
      </c>
      <c r="D150" s="13">
        <v>23.1</v>
      </c>
    </row>
    <row r="151" spans="1:4" ht="18.75" customHeight="1" x14ac:dyDescent="0.25">
      <c r="A151" s="12" t="s">
        <v>33</v>
      </c>
      <c r="B151" s="33">
        <v>2</v>
      </c>
      <c r="C151" s="13" t="s">
        <v>49</v>
      </c>
      <c r="D151" s="13">
        <v>23.1</v>
      </c>
    </row>
    <row r="152" spans="1:4" ht="18.75" customHeight="1" x14ac:dyDescent="0.25">
      <c r="A152" s="12" t="s">
        <v>33</v>
      </c>
      <c r="B152" s="33">
        <v>2</v>
      </c>
      <c r="C152" s="13" t="s">
        <v>50</v>
      </c>
      <c r="D152" s="13">
        <v>23.1</v>
      </c>
    </row>
    <row r="153" spans="1:4" ht="18.75" customHeight="1" x14ac:dyDescent="0.25">
      <c r="A153" s="12" t="s">
        <v>33</v>
      </c>
      <c r="B153" s="33">
        <v>2</v>
      </c>
      <c r="C153" s="13" t="s">
        <v>51</v>
      </c>
      <c r="D153" s="13">
        <v>23.1</v>
      </c>
    </row>
    <row r="154" spans="1:4" ht="18.75" customHeight="1" x14ac:dyDescent="0.25">
      <c r="A154" s="12" t="s">
        <v>33</v>
      </c>
      <c r="B154" s="33">
        <v>2</v>
      </c>
      <c r="C154" s="13" t="s">
        <v>52</v>
      </c>
      <c r="D154" s="13">
        <v>23.1</v>
      </c>
    </row>
    <row r="155" spans="1:4" ht="18.75" customHeight="1" x14ac:dyDescent="0.25">
      <c r="A155" s="12" t="s">
        <v>33</v>
      </c>
      <c r="B155" s="33">
        <v>2</v>
      </c>
      <c r="C155" s="13" t="s">
        <v>53</v>
      </c>
      <c r="D155" s="13">
        <v>23.1</v>
      </c>
    </row>
    <row r="156" spans="1:4" ht="18.75" customHeight="1" x14ac:dyDescent="0.25">
      <c r="A156" s="12" t="s">
        <v>33</v>
      </c>
      <c r="B156" s="33">
        <v>2</v>
      </c>
      <c r="C156" s="13" t="s">
        <v>54</v>
      </c>
      <c r="D156" s="13">
        <v>23.1</v>
      </c>
    </row>
    <row r="157" spans="1:4" ht="18.75" customHeight="1" x14ac:dyDescent="0.25">
      <c r="A157" s="12" t="s">
        <v>33</v>
      </c>
      <c r="B157" s="33">
        <v>2</v>
      </c>
      <c r="C157" s="13" t="s">
        <v>55</v>
      </c>
      <c r="D157" s="13">
        <v>23.1</v>
      </c>
    </row>
    <row r="158" spans="1:4" ht="18.75" customHeight="1" x14ac:dyDescent="0.25">
      <c r="A158" s="12" t="s">
        <v>33</v>
      </c>
      <c r="B158" s="33">
        <v>2</v>
      </c>
      <c r="C158" s="13" t="s">
        <v>56</v>
      </c>
      <c r="D158" s="13">
        <v>23.1</v>
      </c>
    </row>
    <row r="159" spans="1:4" ht="18.75" customHeight="1" x14ac:dyDescent="0.25">
      <c r="A159" s="12" t="s">
        <v>33</v>
      </c>
      <c r="B159" s="33">
        <v>2</v>
      </c>
      <c r="C159" s="13" t="s">
        <v>57</v>
      </c>
      <c r="D159" s="13">
        <v>23.1</v>
      </c>
    </row>
    <row r="160" spans="1:4" ht="18.75" customHeight="1" x14ac:dyDescent="0.25">
      <c r="A160" s="12" t="s">
        <v>33</v>
      </c>
      <c r="B160" s="34">
        <v>3</v>
      </c>
      <c r="C160" s="13" t="s">
        <v>47</v>
      </c>
      <c r="D160" s="13">
        <v>16.5</v>
      </c>
    </row>
    <row r="161" spans="1:4" ht="18.75" customHeight="1" x14ac:dyDescent="0.25">
      <c r="A161" s="12" t="s">
        <v>33</v>
      </c>
      <c r="B161" s="34">
        <v>3</v>
      </c>
      <c r="C161" s="13" t="s">
        <v>48</v>
      </c>
      <c r="D161" s="13">
        <v>16.5</v>
      </c>
    </row>
    <row r="162" spans="1:4" ht="18.75" customHeight="1" x14ac:dyDescent="0.25">
      <c r="A162" s="12" t="s">
        <v>33</v>
      </c>
      <c r="B162" s="34">
        <v>3</v>
      </c>
      <c r="C162" s="13" t="s">
        <v>49</v>
      </c>
      <c r="D162" s="13">
        <v>16.5</v>
      </c>
    </row>
    <row r="163" spans="1:4" ht="18.75" customHeight="1" x14ac:dyDescent="0.25">
      <c r="A163" s="12" t="s">
        <v>33</v>
      </c>
      <c r="B163" s="34">
        <v>3</v>
      </c>
      <c r="C163" s="13" t="s">
        <v>50</v>
      </c>
      <c r="D163" s="13">
        <v>16.5</v>
      </c>
    </row>
    <row r="164" spans="1:4" ht="18.75" customHeight="1" x14ac:dyDescent="0.25">
      <c r="A164" s="12" t="s">
        <v>33</v>
      </c>
      <c r="B164" s="34">
        <v>3</v>
      </c>
      <c r="C164" s="13" t="s">
        <v>51</v>
      </c>
      <c r="D164" s="13">
        <v>16.5</v>
      </c>
    </row>
    <row r="165" spans="1:4" ht="18.75" customHeight="1" x14ac:dyDescent="0.25">
      <c r="A165" s="12" t="s">
        <v>33</v>
      </c>
      <c r="B165" s="34">
        <v>3</v>
      </c>
      <c r="C165" s="13" t="s">
        <v>52</v>
      </c>
      <c r="D165" s="13">
        <v>16.5</v>
      </c>
    </row>
    <row r="166" spans="1:4" ht="18.75" customHeight="1" x14ac:dyDescent="0.25">
      <c r="A166" s="12" t="s">
        <v>33</v>
      </c>
      <c r="B166" s="34">
        <v>3</v>
      </c>
      <c r="C166" s="13" t="s">
        <v>53</v>
      </c>
      <c r="D166" s="13">
        <v>16.5</v>
      </c>
    </row>
    <row r="167" spans="1:4" ht="18.75" customHeight="1" x14ac:dyDescent="0.25">
      <c r="A167" s="12" t="s">
        <v>33</v>
      </c>
      <c r="B167" s="34">
        <v>3</v>
      </c>
      <c r="C167" s="13" t="s">
        <v>54</v>
      </c>
      <c r="D167" s="13">
        <v>16.5</v>
      </c>
    </row>
    <row r="168" spans="1:4" ht="18.75" customHeight="1" x14ac:dyDescent="0.25">
      <c r="A168" s="12" t="s">
        <v>33</v>
      </c>
      <c r="B168" s="34">
        <v>3</v>
      </c>
      <c r="C168" s="13" t="s">
        <v>55</v>
      </c>
      <c r="D168" s="13">
        <v>16.5</v>
      </c>
    </row>
    <row r="169" spans="1:4" ht="18.75" customHeight="1" x14ac:dyDescent="0.25">
      <c r="A169" s="12" t="s">
        <v>33</v>
      </c>
      <c r="B169" s="34">
        <v>3</v>
      </c>
      <c r="C169" s="13" t="s">
        <v>56</v>
      </c>
      <c r="D169" s="13">
        <v>16.5</v>
      </c>
    </row>
    <row r="170" spans="1:4" ht="18.75" customHeight="1" x14ac:dyDescent="0.25">
      <c r="A170" s="12" t="s">
        <v>33</v>
      </c>
      <c r="B170" s="34">
        <v>3</v>
      </c>
      <c r="C170" s="13" t="s">
        <v>57</v>
      </c>
      <c r="D170" s="13">
        <v>16.5</v>
      </c>
    </row>
    <row r="171" spans="1:4" ht="18.75" customHeight="1" x14ac:dyDescent="0.25">
      <c r="A171" s="12" t="s">
        <v>33</v>
      </c>
      <c r="B171" s="35">
        <v>4</v>
      </c>
      <c r="C171" s="13" t="s">
        <v>47</v>
      </c>
      <c r="D171" s="13">
        <v>0</v>
      </c>
    </row>
    <row r="172" spans="1:4" ht="18.75" customHeight="1" x14ac:dyDescent="0.25">
      <c r="A172" s="12" t="s">
        <v>33</v>
      </c>
      <c r="B172" s="35">
        <v>4</v>
      </c>
      <c r="C172" s="13" t="s">
        <v>48</v>
      </c>
      <c r="D172" s="13">
        <v>0</v>
      </c>
    </row>
    <row r="173" spans="1:4" ht="18.75" customHeight="1" x14ac:dyDescent="0.25">
      <c r="A173" s="12" t="s">
        <v>33</v>
      </c>
      <c r="B173" s="35">
        <v>4</v>
      </c>
      <c r="C173" s="13" t="s">
        <v>49</v>
      </c>
      <c r="D173" s="13">
        <v>0</v>
      </c>
    </row>
    <row r="174" spans="1:4" ht="18.75" customHeight="1" x14ac:dyDescent="0.25">
      <c r="A174" s="12" t="s">
        <v>33</v>
      </c>
      <c r="B174" s="35">
        <v>4</v>
      </c>
      <c r="C174" s="13" t="s">
        <v>50</v>
      </c>
      <c r="D174" s="13">
        <v>0</v>
      </c>
    </row>
    <row r="175" spans="1:4" ht="18.75" customHeight="1" x14ac:dyDescent="0.25">
      <c r="A175" s="12" t="s">
        <v>33</v>
      </c>
      <c r="B175" s="35">
        <v>4</v>
      </c>
      <c r="C175" s="13" t="s">
        <v>51</v>
      </c>
      <c r="D175" s="13">
        <v>0</v>
      </c>
    </row>
    <row r="176" spans="1:4" ht="18.75" customHeight="1" x14ac:dyDescent="0.25">
      <c r="A176" s="12" t="s">
        <v>33</v>
      </c>
      <c r="B176" s="35">
        <v>4</v>
      </c>
      <c r="C176" s="13" t="s">
        <v>52</v>
      </c>
      <c r="D176" s="13">
        <v>0</v>
      </c>
    </row>
    <row r="177" spans="1:5" ht="18.75" customHeight="1" x14ac:dyDescent="0.25">
      <c r="A177" s="12" t="s">
        <v>33</v>
      </c>
      <c r="B177" s="35">
        <v>4</v>
      </c>
      <c r="C177" s="13" t="s">
        <v>53</v>
      </c>
      <c r="D177" s="13">
        <v>0</v>
      </c>
    </row>
    <row r="178" spans="1:5" ht="18.75" customHeight="1" x14ac:dyDescent="0.25">
      <c r="A178" s="12" t="s">
        <v>33</v>
      </c>
      <c r="B178" s="35">
        <v>4</v>
      </c>
      <c r="C178" s="13" t="s">
        <v>54</v>
      </c>
      <c r="D178" s="13">
        <v>0</v>
      </c>
    </row>
    <row r="179" spans="1:5" ht="18.75" customHeight="1" x14ac:dyDescent="0.25">
      <c r="A179" s="12" t="s">
        <v>33</v>
      </c>
      <c r="B179" s="35">
        <v>4</v>
      </c>
      <c r="C179" s="13" t="s">
        <v>55</v>
      </c>
      <c r="D179" s="13">
        <v>0</v>
      </c>
    </row>
    <row r="180" spans="1:5" ht="18.75" customHeight="1" x14ac:dyDescent="0.25">
      <c r="A180" s="12" t="s">
        <v>33</v>
      </c>
      <c r="B180" s="35">
        <v>4</v>
      </c>
      <c r="C180" s="13" t="s">
        <v>56</v>
      </c>
      <c r="D180" s="13">
        <v>0</v>
      </c>
    </row>
    <row r="181" spans="1:5" ht="18.75" customHeight="1" x14ac:dyDescent="0.25">
      <c r="A181" s="12" t="s">
        <v>33</v>
      </c>
      <c r="B181" s="35">
        <v>4</v>
      </c>
      <c r="C181" s="13" t="s">
        <v>57</v>
      </c>
      <c r="D181" s="13">
        <v>0</v>
      </c>
      <c r="E181" s="14">
        <f>SUM(D138:D181)</f>
        <v>904.90000000000032</v>
      </c>
    </row>
    <row r="182" spans="1:5" x14ac:dyDescent="0.25">
      <c r="A182" s="15"/>
      <c r="B182" s="36"/>
      <c r="C182" s="16"/>
      <c r="D182" s="16"/>
    </row>
    <row r="183" spans="1:5" ht="18.75" customHeight="1" x14ac:dyDescent="0.25">
      <c r="A183" s="12" t="s">
        <v>28</v>
      </c>
      <c r="B183" s="32">
        <v>1</v>
      </c>
      <c r="C183" s="13" t="s">
        <v>47</v>
      </c>
      <c r="D183" s="13">
        <v>11.5</v>
      </c>
    </row>
    <row r="184" spans="1:5" ht="18.75" customHeight="1" x14ac:dyDescent="0.25">
      <c r="A184" s="12" t="s">
        <v>28</v>
      </c>
      <c r="B184" s="32">
        <v>1</v>
      </c>
      <c r="C184" s="13" t="s">
        <v>48</v>
      </c>
      <c r="D184" s="13">
        <v>11.5</v>
      </c>
    </row>
    <row r="185" spans="1:5" ht="18.75" customHeight="1" x14ac:dyDescent="0.25">
      <c r="A185" s="12" t="s">
        <v>28</v>
      </c>
      <c r="B185" s="32">
        <v>1</v>
      </c>
      <c r="C185" s="13" t="s">
        <v>49</v>
      </c>
      <c r="D185" s="13">
        <v>11.5</v>
      </c>
    </row>
    <row r="186" spans="1:5" ht="18.75" customHeight="1" x14ac:dyDescent="0.25">
      <c r="A186" s="12" t="s">
        <v>28</v>
      </c>
      <c r="B186" s="32">
        <v>1</v>
      </c>
      <c r="C186" s="13" t="s">
        <v>50</v>
      </c>
      <c r="D186" s="13">
        <v>11.5</v>
      </c>
    </row>
    <row r="187" spans="1:5" ht="18.75" customHeight="1" x14ac:dyDescent="0.25">
      <c r="A187" s="12" t="s">
        <v>28</v>
      </c>
      <c r="B187" s="32">
        <v>1</v>
      </c>
      <c r="C187" s="13" t="s">
        <v>51</v>
      </c>
      <c r="D187" s="13">
        <v>11.5</v>
      </c>
    </row>
    <row r="188" spans="1:5" ht="18.75" customHeight="1" x14ac:dyDescent="0.25">
      <c r="A188" s="12" t="s">
        <v>28</v>
      </c>
      <c r="B188" s="32">
        <v>1</v>
      </c>
      <c r="C188" s="13" t="s">
        <v>52</v>
      </c>
      <c r="D188" s="13">
        <v>11.5</v>
      </c>
    </row>
    <row r="189" spans="1:5" ht="18.75" customHeight="1" x14ac:dyDescent="0.25">
      <c r="A189" s="12" t="s">
        <v>28</v>
      </c>
      <c r="B189" s="32">
        <v>1</v>
      </c>
      <c r="C189" s="13" t="s">
        <v>53</v>
      </c>
      <c r="D189" s="13">
        <v>11.5</v>
      </c>
    </row>
    <row r="190" spans="1:5" ht="18.75" customHeight="1" x14ac:dyDescent="0.25">
      <c r="A190" s="12" t="s">
        <v>28</v>
      </c>
      <c r="B190" s="32">
        <v>1</v>
      </c>
      <c r="C190" s="13" t="s">
        <v>54</v>
      </c>
      <c r="D190" s="13">
        <v>11.5</v>
      </c>
    </row>
    <row r="191" spans="1:5" ht="18.75" customHeight="1" x14ac:dyDescent="0.25">
      <c r="A191" s="12" t="s">
        <v>28</v>
      </c>
      <c r="B191" s="32">
        <v>1</v>
      </c>
      <c r="C191" s="13" t="s">
        <v>55</v>
      </c>
      <c r="D191" s="13">
        <v>11.5</v>
      </c>
    </row>
    <row r="192" spans="1:5" ht="18.75" customHeight="1" x14ac:dyDescent="0.25">
      <c r="A192" s="12" t="s">
        <v>28</v>
      </c>
      <c r="B192" s="32">
        <v>1</v>
      </c>
      <c r="C192" s="13" t="s">
        <v>56</v>
      </c>
      <c r="D192" s="13">
        <v>11.5</v>
      </c>
    </row>
    <row r="193" spans="1:4" ht="18.75" customHeight="1" x14ac:dyDescent="0.25">
      <c r="A193" s="12" t="s">
        <v>28</v>
      </c>
      <c r="B193" s="32">
        <v>1</v>
      </c>
      <c r="C193" s="13" t="s">
        <v>57</v>
      </c>
      <c r="D193" s="13">
        <v>11.5</v>
      </c>
    </row>
    <row r="194" spans="1:4" ht="18.75" customHeight="1" x14ac:dyDescent="0.25">
      <c r="A194" s="12" t="s">
        <v>28</v>
      </c>
      <c r="B194" s="33">
        <v>2</v>
      </c>
      <c r="C194" s="13" t="s">
        <v>47</v>
      </c>
      <c r="D194" s="13">
        <v>0</v>
      </c>
    </row>
    <row r="195" spans="1:4" ht="18.75" customHeight="1" x14ac:dyDescent="0.25">
      <c r="A195" s="12" t="s">
        <v>28</v>
      </c>
      <c r="B195" s="33">
        <v>2</v>
      </c>
      <c r="C195" s="13" t="s">
        <v>48</v>
      </c>
      <c r="D195" s="13">
        <v>0</v>
      </c>
    </row>
    <row r="196" spans="1:4" ht="18.75" customHeight="1" x14ac:dyDescent="0.25">
      <c r="A196" s="12" t="s">
        <v>28</v>
      </c>
      <c r="B196" s="33">
        <v>2</v>
      </c>
      <c r="C196" s="13" t="s">
        <v>49</v>
      </c>
      <c r="D196" s="13">
        <v>0</v>
      </c>
    </row>
    <row r="197" spans="1:4" ht="18.75" customHeight="1" x14ac:dyDescent="0.25">
      <c r="A197" s="12" t="s">
        <v>28</v>
      </c>
      <c r="B197" s="33">
        <v>2</v>
      </c>
      <c r="C197" s="13" t="s">
        <v>50</v>
      </c>
      <c r="D197" s="13">
        <v>0</v>
      </c>
    </row>
    <row r="198" spans="1:4" ht="18.75" customHeight="1" x14ac:dyDescent="0.25">
      <c r="A198" s="12" t="s">
        <v>28</v>
      </c>
      <c r="B198" s="33">
        <v>2</v>
      </c>
      <c r="C198" s="13" t="s">
        <v>51</v>
      </c>
      <c r="D198" s="13">
        <v>0</v>
      </c>
    </row>
    <row r="199" spans="1:4" ht="18.75" customHeight="1" x14ac:dyDescent="0.25">
      <c r="A199" s="12" t="s">
        <v>28</v>
      </c>
      <c r="B199" s="33">
        <v>2</v>
      </c>
      <c r="C199" s="13" t="s">
        <v>52</v>
      </c>
      <c r="D199" s="13">
        <v>0</v>
      </c>
    </row>
    <row r="200" spans="1:4" ht="18.75" customHeight="1" x14ac:dyDescent="0.25">
      <c r="A200" s="12" t="s">
        <v>28</v>
      </c>
      <c r="B200" s="33">
        <v>2</v>
      </c>
      <c r="C200" s="13" t="s">
        <v>53</v>
      </c>
      <c r="D200" s="13">
        <v>0</v>
      </c>
    </row>
    <row r="201" spans="1:4" ht="18.75" customHeight="1" x14ac:dyDescent="0.25">
      <c r="A201" s="12" t="s">
        <v>28</v>
      </c>
      <c r="B201" s="33">
        <v>2</v>
      </c>
      <c r="C201" s="13" t="s">
        <v>54</v>
      </c>
      <c r="D201" s="13">
        <v>0</v>
      </c>
    </row>
    <row r="202" spans="1:4" ht="18.75" customHeight="1" x14ac:dyDescent="0.25">
      <c r="A202" s="12" t="s">
        <v>28</v>
      </c>
      <c r="B202" s="33">
        <v>2</v>
      </c>
      <c r="C202" s="13" t="s">
        <v>55</v>
      </c>
      <c r="D202" s="13">
        <v>0</v>
      </c>
    </row>
    <row r="203" spans="1:4" ht="18.75" customHeight="1" x14ac:dyDescent="0.25">
      <c r="A203" s="12" t="s">
        <v>28</v>
      </c>
      <c r="B203" s="33">
        <v>2</v>
      </c>
      <c r="C203" s="13" t="s">
        <v>56</v>
      </c>
      <c r="D203" s="13">
        <v>0</v>
      </c>
    </row>
    <row r="204" spans="1:4" ht="18.75" customHeight="1" x14ac:dyDescent="0.25">
      <c r="A204" s="12" t="s">
        <v>28</v>
      </c>
      <c r="B204" s="33">
        <v>2</v>
      </c>
      <c r="C204" s="13" t="s">
        <v>57</v>
      </c>
      <c r="D204" s="13">
        <v>0</v>
      </c>
    </row>
    <row r="205" spans="1:4" ht="18.75" customHeight="1" x14ac:dyDescent="0.25">
      <c r="A205" s="12" t="s">
        <v>28</v>
      </c>
      <c r="B205" s="34">
        <v>3</v>
      </c>
      <c r="C205" s="13" t="s">
        <v>47</v>
      </c>
      <c r="D205" s="13">
        <v>0</v>
      </c>
    </row>
    <row r="206" spans="1:4" ht="18.75" customHeight="1" x14ac:dyDescent="0.25">
      <c r="A206" s="12" t="s">
        <v>28</v>
      </c>
      <c r="B206" s="34">
        <v>3</v>
      </c>
      <c r="C206" s="13" t="s">
        <v>48</v>
      </c>
      <c r="D206" s="13">
        <v>0</v>
      </c>
    </row>
    <row r="207" spans="1:4" ht="18.75" customHeight="1" x14ac:dyDescent="0.25">
      <c r="A207" s="12" t="s">
        <v>28</v>
      </c>
      <c r="B207" s="34">
        <v>3</v>
      </c>
      <c r="C207" s="13" t="s">
        <v>49</v>
      </c>
      <c r="D207" s="13">
        <v>0</v>
      </c>
    </row>
    <row r="208" spans="1:4" ht="18.75" customHeight="1" x14ac:dyDescent="0.25">
      <c r="A208" s="12" t="s">
        <v>28</v>
      </c>
      <c r="B208" s="34">
        <v>3</v>
      </c>
      <c r="C208" s="13" t="s">
        <v>50</v>
      </c>
      <c r="D208" s="13">
        <v>0</v>
      </c>
    </row>
    <row r="209" spans="1:4" ht="18.75" customHeight="1" x14ac:dyDescent="0.25">
      <c r="A209" s="12" t="s">
        <v>28</v>
      </c>
      <c r="B209" s="34">
        <v>3</v>
      </c>
      <c r="C209" s="13" t="s">
        <v>51</v>
      </c>
      <c r="D209" s="13">
        <v>0</v>
      </c>
    </row>
    <row r="210" spans="1:4" ht="18.75" customHeight="1" x14ac:dyDescent="0.25">
      <c r="A210" s="12" t="s">
        <v>28</v>
      </c>
      <c r="B210" s="34">
        <v>3</v>
      </c>
      <c r="C210" s="13" t="s">
        <v>52</v>
      </c>
      <c r="D210" s="13">
        <v>0</v>
      </c>
    </row>
    <row r="211" spans="1:4" ht="18.75" customHeight="1" x14ac:dyDescent="0.25">
      <c r="A211" s="12" t="s">
        <v>28</v>
      </c>
      <c r="B211" s="34">
        <v>3</v>
      </c>
      <c r="C211" s="13" t="s">
        <v>53</v>
      </c>
      <c r="D211" s="13">
        <v>0</v>
      </c>
    </row>
    <row r="212" spans="1:4" ht="18.75" customHeight="1" x14ac:dyDescent="0.25">
      <c r="A212" s="12" t="s">
        <v>28</v>
      </c>
      <c r="B212" s="34">
        <v>3</v>
      </c>
      <c r="C212" s="13" t="s">
        <v>54</v>
      </c>
      <c r="D212" s="13">
        <v>0</v>
      </c>
    </row>
    <row r="213" spans="1:4" ht="18.75" customHeight="1" x14ac:dyDescent="0.25">
      <c r="A213" s="12" t="s">
        <v>28</v>
      </c>
      <c r="B213" s="34">
        <v>3</v>
      </c>
      <c r="C213" s="13" t="s">
        <v>55</v>
      </c>
      <c r="D213" s="13">
        <v>0</v>
      </c>
    </row>
    <row r="214" spans="1:4" ht="18.75" customHeight="1" x14ac:dyDescent="0.25">
      <c r="A214" s="12" t="s">
        <v>28</v>
      </c>
      <c r="B214" s="34">
        <v>3</v>
      </c>
      <c r="C214" s="13" t="s">
        <v>56</v>
      </c>
      <c r="D214" s="13">
        <v>0</v>
      </c>
    </row>
    <row r="215" spans="1:4" ht="18.75" customHeight="1" x14ac:dyDescent="0.25">
      <c r="A215" s="12" t="s">
        <v>28</v>
      </c>
      <c r="B215" s="34">
        <v>3</v>
      </c>
      <c r="C215" s="13" t="s">
        <v>57</v>
      </c>
      <c r="D215" s="13">
        <v>0</v>
      </c>
    </row>
    <row r="216" spans="1:4" ht="18.75" customHeight="1" x14ac:dyDescent="0.25">
      <c r="A216" s="12" t="s">
        <v>28</v>
      </c>
      <c r="B216" s="35">
        <v>4</v>
      </c>
      <c r="C216" s="13" t="s">
        <v>47</v>
      </c>
      <c r="D216" s="13">
        <v>0</v>
      </c>
    </row>
    <row r="217" spans="1:4" ht="18.75" customHeight="1" x14ac:dyDescent="0.25">
      <c r="A217" s="12" t="s">
        <v>28</v>
      </c>
      <c r="B217" s="35">
        <v>4</v>
      </c>
      <c r="C217" s="13" t="s">
        <v>48</v>
      </c>
      <c r="D217" s="13">
        <v>0</v>
      </c>
    </row>
    <row r="218" spans="1:4" ht="18.75" customHeight="1" x14ac:dyDescent="0.25">
      <c r="A218" s="12" t="s">
        <v>28</v>
      </c>
      <c r="B218" s="35">
        <v>4</v>
      </c>
      <c r="C218" s="13" t="s">
        <v>49</v>
      </c>
      <c r="D218" s="13">
        <v>0</v>
      </c>
    </row>
    <row r="219" spans="1:4" ht="18.75" customHeight="1" x14ac:dyDescent="0.25">
      <c r="A219" s="12" t="s">
        <v>28</v>
      </c>
      <c r="B219" s="35">
        <v>4</v>
      </c>
      <c r="C219" s="13" t="s">
        <v>50</v>
      </c>
      <c r="D219" s="13">
        <v>0</v>
      </c>
    </row>
    <row r="220" spans="1:4" ht="18.75" customHeight="1" x14ac:dyDescent="0.25">
      <c r="A220" s="12" t="s">
        <v>28</v>
      </c>
      <c r="B220" s="35">
        <v>4</v>
      </c>
      <c r="C220" s="13" t="s">
        <v>51</v>
      </c>
      <c r="D220" s="13">
        <v>0</v>
      </c>
    </row>
    <row r="221" spans="1:4" ht="18.75" customHeight="1" x14ac:dyDescent="0.25">
      <c r="A221" s="12" t="s">
        <v>28</v>
      </c>
      <c r="B221" s="35">
        <v>4</v>
      </c>
      <c r="C221" s="13" t="s">
        <v>52</v>
      </c>
      <c r="D221" s="13">
        <v>0</v>
      </c>
    </row>
    <row r="222" spans="1:4" ht="18.75" customHeight="1" x14ac:dyDescent="0.25">
      <c r="A222" s="12" t="s">
        <v>28</v>
      </c>
      <c r="B222" s="35">
        <v>4</v>
      </c>
      <c r="C222" s="13" t="s">
        <v>53</v>
      </c>
      <c r="D222" s="13">
        <v>0</v>
      </c>
    </row>
    <row r="223" spans="1:4" ht="18.75" customHeight="1" x14ac:dyDescent="0.25">
      <c r="A223" s="12" t="s">
        <v>28</v>
      </c>
      <c r="B223" s="35">
        <v>4</v>
      </c>
      <c r="C223" s="13" t="s">
        <v>54</v>
      </c>
      <c r="D223" s="13">
        <v>0</v>
      </c>
    </row>
    <row r="224" spans="1:4" ht="18.75" customHeight="1" x14ac:dyDescent="0.25">
      <c r="A224" s="12" t="s">
        <v>28</v>
      </c>
      <c r="B224" s="35">
        <v>4</v>
      </c>
      <c r="C224" s="13" t="s">
        <v>55</v>
      </c>
      <c r="D224" s="13">
        <v>0</v>
      </c>
    </row>
    <row r="225" spans="1:5" ht="18.75" customHeight="1" x14ac:dyDescent="0.25">
      <c r="A225" s="12" t="s">
        <v>28</v>
      </c>
      <c r="B225" s="35">
        <v>4</v>
      </c>
      <c r="C225" s="13" t="s">
        <v>56</v>
      </c>
      <c r="D225" s="13">
        <v>0</v>
      </c>
    </row>
    <row r="226" spans="1:5" ht="18.75" customHeight="1" x14ac:dyDescent="0.25">
      <c r="A226" s="12" t="s">
        <v>28</v>
      </c>
      <c r="B226" s="35">
        <v>4</v>
      </c>
      <c r="C226" s="13" t="s">
        <v>57</v>
      </c>
      <c r="D226" s="13">
        <v>0</v>
      </c>
      <c r="E226" s="14">
        <f>SUM(D183:D226)</f>
        <v>126.5</v>
      </c>
    </row>
    <row r="227" spans="1:5" x14ac:dyDescent="0.25">
      <c r="A227" s="15"/>
      <c r="B227" s="36"/>
      <c r="C227" s="16"/>
      <c r="D227" s="16"/>
      <c r="E227" s="14"/>
    </row>
    <row r="228" spans="1:5" ht="18.75" customHeight="1" x14ac:dyDescent="0.25">
      <c r="A228" s="12" t="s">
        <v>17</v>
      </c>
      <c r="B228" s="32">
        <v>1</v>
      </c>
      <c r="C228" s="13" t="s">
        <v>47</v>
      </c>
      <c r="D228" s="13">
        <v>11.5</v>
      </c>
    </row>
    <row r="229" spans="1:5" ht="18.75" customHeight="1" x14ac:dyDescent="0.25">
      <c r="A229" s="12" t="s">
        <v>17</v>
      </c>
      <c r="B229" s="32">
        <v>1</v>
      </c>
      <c r="C229" s="13" t="s">
        <v>48</v>
      </c>
      <c r="D229" s="13">
        <v>11.5</v>
      </c>
    </row>
    <row r="230" spans="1:5" ht="18.75" customHeight="1" x14ac:dyDescent="0.25">
      <c r="A230" s="12" t="s">
        <v>17</v>
      </c>
      <c r="B230" s="32">
        <v>1</v>
      </c>
      <c r="C230" s="13" t="s">
        <v>49</v>
      </c>
      <c r="D230" s="13">
        <v>11.5</v>
      </c>
    </row>
    <row r="231" spans="1:5" ht="18.75" customHeight="1" x14ac:dyDescent="0.25">
      <c r="A231" s="12" t="s">
        <v>17</v>
      </c>
      <c r="B231" s="32">
        <v>1</v>
      </c>
      <c r="C231" s="13" t="s">
        <v>50</v>
      </c>
      <c r="D231" s="13">
        <v>11.5</v>
      </c>
    </row>
    <row r="232" spans="1:5" ht="18.75" customHeight="1" x14ac:dyDescent="0.25">
      <c r="A232" s="12" t="s">
        <v>17</v>
      </c>
      <c r="B232" s="32">
        <v>1</v>
      </c>
      <c r="C232" s="13" t="s">
        <v>51</v>
      </c>
      <c r="D232" s="13">
        <v>11.5</v>
      </c>
    </row>
    <row r="233" spans="1:5" ht="18.75" customHeight="1" x14ac:dyDescent="0.25">
      <c r="A233" s="12" t="s">
        <v>17</v>
      </c>
      <c r="B233" s="32">
        <v>1</v>
      </c>
      <c r="C233" s="13" t="s">
        <v>52</v>
      </c>
      <c r="D233" s="13">
        <v>11.5</v>
      </c>
    </row>
    <row r="234" spans="1:5" ht="18.75" customHeight="1" x14ac:dyDescent="0.25">
      <c r="A234" s="12" t="s">
        <v>17</v>
      </c>
      <c r="B234" s="32">
        <v>1</v>
      </c>
      <c r="C234" s="13" t="s">
        <v>53</v>
      </c>
      <c r="D234" s="13">
        <v>11.5</v>
      </c>
    </row>
    <row r="235" spans="1:5" ht="18.75" customHeight="1" x14ac:dyDescent="0.25">
      <c r="A235" s="12" t="s">
        <v>17</v>
      </c>
      <c r="B235" s="32">
        <v>1</v>
      </c>
      <c r="C235" s="13" t="s">
        <v>54</v>
      </c>
      <c r="D235" s="13">
        <v>11.5</v>
      </c>
    </row>
    <row r="236" spans="1:5" ht="18.75" customHeight="1" x14ac:dyDescent="0.25">
      <c r="A236" s="12" t="s">
        <v>17</v>
      </c>
      <c r="B236" s="32">
        <v>1</v>
      </c>
      <c r="C236" s="13" t="s">
        <v>55</v>
      </c>
      <c r="D236" s="13">
        <v>11.5</v>
      </c>
    </row>
    <row r="237" spans="1:5" ht="18.75" customHeight="1" x14ac:dyDescent="0.25">
      <c r="A237" s="12" t="s">
        <v>17</v>
      </c>
      <c r="B237" s="32">
        <v>1</v>
      </c>
      <c r="C237" s="13" t="s">
        <v>56</v>
      </c>
      <c r="D237" s="13">
        <v>11.5</v>
      </c>
    </row>
    <row r="238" spans="1:5" ht="18.75" customHeight="1" x14ac:dyDescent="0.25">
      <c r="A238" s="12" t="s">
        <v>17</v>
      </c>
      <c r="B238" s="32">
        <v>1</v>
      </c>
      <c r="C238" s="13" t="s">
        <v>57</v>
      </c>
      <c r="D238" s="13">
        <v>11.5</v>
      </c>
    </row>
    <row r="239" spans="1:5" ht="18.75" customHeight="1" x14ac:dyDescent="0.25">
      <c r="A239" s="12" t="s">
        <v>17</v>
      </c>
      <c r="B239" s="33">
        <v>2</v>
      </c>
      <c r="C239" s="13" t="s">
        <v>47</v>
      </c>
      <c r="D239" s="13">
        <v>0</v>
      </c>
    </row>
    <row r="240" spans="1:5" ht="18.75" customHeight="1" x14ac:dyDescent="0.25">
      <c r="A240" s="12" t="s">
        <v>17</v>
      </c>
      <c r="B240" s="33">
        <v>2</v>
      </c>
      <c r="C240" s="13" t="s">
        <v>48</v>
      </c>
      <c r="D240" s="13">
        <v>0</v>
      </c>
    </row>
    <row r="241" spans="1:4" ht="18.75" customHeight="1" x14ac:dyDescent="0.25">
      <c r="A241" s="12" t="s">
        <v>17</v>
      </c>
      <c r="B241" s="33">
        <v>2</v>
      </c>
      <c r="C241" s="13" t="s">
        <v>49</v>
      </c>
      <c r="D241" s="13">
        <v>0</v>
      </c>
    </row>
    <row r="242" spans="1:4" ht="18.75" customHeight="1" x14ac:dyDescent="0.25">
      <c r="A242" s="12" t="s">
        <v>17</v>
      </c>
      <c r="B242" s="33">
        <v>2</v>
      </c>
      <c r="C242" s="13" t="s">
        <v>50</v>
      </c>
      <c r="D242" s="13">
        <v>0</v>
      </c>
    </row>
    <row r="243" spans="1:4" ht="18.75" customHeight="1" x14ac:dyDescent="0.25">
      <c r="A243" s="12" t="s">
        <v>17</v>
      </c>
      <c r="B243" s="33">
        <v>2</v>
      </c>
      <c r="C243" s="13" t="s">
        <v>51</v>
      </c>
      <c r="D243" s="13">
        <v>0</v>
      </c>
    </row>
    <row r="244" spans="1:4" ht="18.75" customHeight="1" x14ac:dyDescent="0.25">
      <c r="A244" s="12" t="s">
        <v>17</v>
      </c>
      <c r="B244" s="33">
        <v>2</v>
      </c>
      <c r="C244" s="13" t="s">
        <v>52</v>
      </c>
      <c r="D244" s="13">
        <v>0</v>
      </c>
    </row>
    <row r="245" spans="1:4" ht="18.75" customHeight="1" x14ac:dyDescent="0.25">
      <c r="A245" s="12" t="s">
        <v>17</v>
      </c>
      <c r="B245" s="33">
        <v>2</v>
      </c>
      <c r="C245" s="13" t="s">
        <v>53</v>
      </c>
      <c r="D245" s="13">
        <v>0</v>
      </c>
    </row>
    <row r="246" spans="1:4" ht="18.75" customHeight="1" x14ac:dyDescent="0.25">
      <c r="A246" s="12" t="s">
        <v>17</v>
      </c>
      <c r="B246" s="33">
        <v>2</v>
      </c>
      <c r="C246" s="13" t="s">
        <v>54</v>
      </c>
      <c r="D246" s="13">
        <v>0</v>
      </c>
    </row>
    <row r="247" spans="1:4" ht="18.75" customHeight="1" x14ac:dyDescent="0.25">
      <c r="A247" s="12" t="s">
        <v>17</v>
      </c>
      <c r="B247" s="33">
        <v>2</v>
      </c>
      <c r="C247" s="13" t="s">
        <v>55</v>
      </c>
      <c r="D247" s="13">
        <v>0</v>
      </c>
    </row>
    <row r="248" spans="1:4" ht="18.75" customHeight="1" x14ac:dyDescent="0.25">
      <c r="A248" s="12" t="s">
        <v>17</v>
      </c>
      <c r="B248" s="33">
        <v>2</v>
      </c>
      <c r="C248" s="13" t="s">
        <v>56</v>
      </c>
      <c r="D248" s="13">
        <v>0</v>
      </c>
    </row>
    <row r="249" spans="1:4" ht="18.75" customHeight="1" x14ac:dyDescent="0.25">
      <c r="A249" s="12" t="s">
        <v>17</v>
      </c>
      <c r="B249" s="33">
        <v>2</v>
      </c>
      <c r="C249" s="13" t="s">
        <v>57</v>
      </c>
      <c r="D249" s="13">
        <v>0</v>
      </c>
    </row>
    <row r="250" spans="1:4" ht="18.75" customHeight="1" x14ac:dyDescent="0.25">
      <c r="A250" s="12" t="s">
        <v>17</v>
      </c>
      <c r="B250" s="34">
        <v>3</v>
      </c>
      <c r="C250" s="13" t="s">
        <v>47</v>
      </c>
      <c r="D250" s="13">
        <v>0</v>
      </c>
    </row>
    <row r="251" spans="1:4" ht="18.75" customHeight="1" x14ac:dyDescent="0.25">
      <c r="A251" s="12" t="s">
        <v>17</v>
      </c>
      <c r="B251" s="34">
        <v>3</v>
      </c>
      <c r="C251" s="13" t="s">
        <v>48</v>
      </c>
      <c r="D251" s="13">
        <v>0</v>
      </c>
    </row>
    <row r="252" spans="1:4" ht="18.75" customHeight="1" x14ac:dyDescent="0.25">
      <c r="A252" s="12" t="s">
        <v>17</v>
      </c>
      <c r="B252" s="34">
        <v>3</v>
      </c>
      <c r="C252" s="13" t="s">
        <v>49</v>
      </c>
      <c r="D252" s="13">
        <v>0</v>
      </c>
    </row>
    <row r="253" spans="1:4" ht="18.75" customHeight="1" x14ac:dyDescent="0.25">
      <c r="A253" s="12" t="s">
        <v>17</v>
      </c>
      <c r="B253" s="34">
        <v>3</v>
      </c>
      <c r="C253" s="13" t="s">
        <v>50</v>
      </c>
      <c r="D253" s="13">
        <v>0</v>
      </c>
    </row>
    <row r="254" spans="1:4" ht="18.75" customHeight="1" x14ac:dyDescent="0.25">
      <c r="A254" s="12" t="s">
        <v>17</v>
      </c>
      <c r="B254" s="34">
        <v>3</v>
      </c>
      <c r="C254" s="13" t="s">
        <v>51</v>
      </c>
      <c r="D254" s="13">
        <v>0</v>
      </c>
    </row>
    <row r="255" spans="1:4" ht="18.75" customHeight="1" x14ac:dyDescent="0.25">
      <c r="A255" s="12" t="s">
        <v>17</v>
      </c>
      <c r="B255" s="34">
        <v>3</v>
      </c>
      <c r="C255" s="13" t="s">
        <v>52</v>
      </c>
      <c r="D255" s="13">
        <v>0</v>
      </c>
    </row>
    <row r="256" spans="1:4" ht="18.75" customHeight="1" x14ac:dyDescent="0.25">
      <c r="A256" s="12" t="s">
        <v>17</v>
      </c>
      <c r="B256" s="34">
        <v>3</v>
      </c>
      <c r="C256" s="13" t="s">
        <v>53</v>
      </c>
      <c r="D256" s="13">
        <v>0</v>
      </c>
    </row>
    <row r="257" spans="1:5" ht="18.75" customHeight="1" x14ac:dyDescent="0.25">
      <c r="A257" s="12" t="s">
        <v>17</v>
      </c>
      <c r="B257" s="34">
        <v>3</v>
      </c>
      <c r="C257" s="13" t="s">
        <v>54</v>
      </c>
      <c r="D257" s="13">
        <v>0</v>
      </c>
    </row>
    <row r="258" spans="1:5" ht="18.75" customHeight="1" x14ac:dyDescent="0.25">
      <c r="A258" s="12" t="s">
        <v>17</v>
      </c>
      <c r="B258" s="34">
        <v>3</v>
      </c>
      <c r="C258" s="13" t="s">
        <v>55</v>
      </c>
      <c r="D258" s="13">
        <v>0</v>
      </c>
    </row>
    <row r="259" spans="1:5" ht="18.75" customHeight="1" x14ac:dyDescent="0.25">
      <c r="A259" s="12" t="s">
        <v>17</v>
      </c>
      <c r="B259" s="34">
        <v>3</v>
      </c>
      <c r="C259" s="13" t="s">
        <v>56</v>
      </c>
      <c r="D259" s="13">
        <v>0</v>
      </c>
    </row>
    <row r="260" spans="1:5" ht="18.75" customHeight="1" x14ac:dyDescent="0.25">
      <c r="A260" s="12" t="s">
        <v>17</v>
      </c>
      <c r="B260" s="34">
        <v>3</v>
      </c>
      <c r="C260" s="13" t="s">
        <v>57</v>
      </c>
      <c r="D260" s="13">
        <v>0</v>
      </c>
    </row>
    <row r="261" spans="1:5" ht="18.75" customHeight="1" x14ac:dyDescent="0.25">
      <c r="A261" s="12" t="s">
        <v>17</v>
      </c>
      <c r="B261" s="35">
        <v>4</v>
      </c>
      <c r="C261" s="13" t="s">
        <v>47</v>
      </c>
      <c r="D261" s="13">
        <v>0</v>
      </c>
    </row>
    <row r="262" spans="1:5" ht="18.75" customHeight="1" x14ac:dyDescent="0.25">
      <c r="A262" s="12" t="s">
        <v>17</v>
      </c>
      <c r="B262" s="35">
        <v>4</v>
      </c>
      <c r="C262" s="13" t="s">
        <v>48</v>
      </c>
      <c r="D262" s="13">
        <v>0</v>
      </c>
    </row>
    <row r="263" spans="1:5" ht="18.75" customHeight="1" x14ac:dyDescent="0.25">
      <c r="A263" s="12" t="s">
        <v>17</v>
      </c>
      <c r="B263" s="35">
        <v>4</v>
      </c>
      <c r="C263" s="13" t="s">
        <v>49</v>
      </c>
      <c r="D263" s="13">
        <v>0</v>
      </c>
    </row>
    <row r="264" spans="1:5" ht="18.75" customHeight="1" x14ac:dyDescent="0.25">
      <c r="A264" s="12" t="s">
        <v>17</v>
      </c>
      <c r="B264" s="35">
        <v>4</v>
      </c>
      <c r="C264" s="13" t="s">
        <v>50</v>
      </c>
      <c r="D264" s="13">
        <v>0</v>
      </c>
    </row>
    <row r="265" spans="1:5" ht="18.75" customHeight="1" x14ac:dyDescent="0.25">
      <c r="A265" s="12" t="s">
        <v>17</v>
      </c>
      <c r="B265" s="35">
        <v>4</v>
      </c>
      <c r="C265" s="13" t="s">
        <v>51</v>
      </c>
      <c r="D265" s="13">
        <v>0</v>
      </c>
    </row>
    <row r="266" spans="1:5" ht="18.75" customHeight="1" x14ac:dyDescent="0.25">
      <c r="A266" s="12" t="s">
        <v>17</v>
      </c>
      <c r="B266" s="35">
        <v>4</v>
      </c>
      <c r="C266" s="13" t="s">
        <v>52</v>
      </c>
      <c r="D266" s="13">
        <v>0</v>
      </c>
    </row>
    <row r="267" spans="1:5" ht="18.75" customHeight="1" x14ac:dyDescent="0.25">
      <c r="A267" s="12" t="s">
        <v>17</v>
      </c>
      <c r="B267" s="35">
        <v>4</v>
      </c>
      <c r="C267" s="13" t="s">
        <v>53</v>
      </c>
      <c r="D267" s="13">
        <v>0</v>
      </c>
    </row>
    <row r="268" spans="1:5" ht="18.75" customHeight="1" x14ac:dyDescent="0.25">
      <c r="A268" s="12" t="s">
        <v>17</v>
      </c>
      <c r="B268" s="35">
        <v>4</v>
      </c>
      <c r="C268" s="13" t="s">
        <v>54</v>
      </c>
      <c r="D268" s="13">
        <v>0</v>
      </c>
    </row>
    <row r="269" spans="1:5" ht="18.75" customHeight="1" x14ac:dyDescent="0.25">
      <c r="A269" s="12" t="s">
        <v>17</v>
      </c>
      <c r="B269" s="35">
        <v>4</v>
      </c>
      <c r="C269" s="13" t="s">
        <v>55</v>
      </c>
      <c r="D269" s="13">
        <v>0</v>
      </c>
    </row>
    <row r="270" spans="1:5" ht="18.75" customHeight="1" x14ac:dyDescent="0.25">
      <c r="A270" s="12" t="s">
        <v>17</v>
      </c>
      <c r="B270" s="35">
        <v>4</v>
      </c>
      <c r="C270" s="13" t="s">
        <v>56</v>
      </c>
      <c r="D270" s="13">
        <v>0</v>
      </c>
    </row>
    <row r="271" spans="1:5" ht="18.75" customHeight="1" x14ac:dyDescent="0.25">
      <c r="A271" s="12" t="s">
        <v>17</v>
      </c>
      <c r="B271" s="35">
        <v>4</v>
      </c>
      <c r="C271" s="13" t="s">
        <v>57</v>
      </c>
      <c r="D271" s="13">
        <v>0</v>
      </c>
      <c r="E271" s="14">
        <f>SUM(D228:D271)</f>
        <v>126.5</v>
      </c>
    </row>
    <row r="272" spans="1:5" x14ac:dyDescent="0.25">
      <c r="A272" s="15"/>
      <c r="B272" s="36"/>
      <c r="C272" s="16"/>
      <c r="D272" s="16"/>
      <c r="E272" s="14"/>
    </row>
    <row r="273" spans="1:4" ht="18.75" customHeight="1" x14ac:dyDescent="0.25">
      <c r="A273" s="12" t="s">
        <v>25</v>
      </c>
      <c r="B273" s="32">
        <v>1</v>
      </c>
      <c r="C273" s="13" t="s">
        <v>47</v>
      </c>
      <c r="D273" s="13">
        <v>126</v>
      </c>
    </row>
    <row r="274" spans="1:4" ht="18.75" customHeight="1" x14ac:dyDescent="0.25">
      <c r="A274" s="12" t="s">
        <v>25</v>
      </c>
      <c r="B274" s="32">
        <v>1</v>
      </c>
      <c r="C274" s="13" t="s">
        <v>48</v>
      </c>
      <c r="D274" s="13">
        <v>126</v>
      </c>
    </row>
    <row r="275" spans="1:4" ht="18.75" customHeight="1" x14ac:dyDescent="0.25">
      <c r="A275" s="12" t="s">
        <v>25</v>
      </c>
      <c r="B275" s="32">
        <v>1</v>
      </c>
      <c r="C275" s="13" t="s">
        <v>49</v>
      </c>
      <c r="D275" s="13">
        <v>126</v>
      </c>
    </row>
    <row r="276" spans="1:4" ht="18.75" customHeight="1" x14ac:dyDescent="0.25">
      <c r="A276" s="12" t="s">
        <v>25</v>
      </c>
      <c r="B276" s="32">
        <v>1</v>
      </c>
      <c r="C276" s="13" t="s">
        <v>50</v>
      </c>
      <c r="D276" s="13">
        <v>126</v>
      </c>
    </row>
    <row r="277" spans="1:4" ht="18.75" customHeight="1" x14ac:dyDescent="0.25">
      <c r="A277" s="12" t="s">
        <v>25</v>
      </c>
      <c r="B277" s="32">
        <v>1</v>
      </c>
      <c r="C277" s="13" t="s">
        <v>51</v>
      </c>
      <c r="D277" s="13">
        <v>126</v>
      </c>
    </row>
    <row r="278" spans="1:4" ht="18.75" customHeight="1" x14ac:dyDescent="0.25">
      <c r="A278" s="12" t="s">
        <v>25</v>
      </c>
      <c r="B278" s="32">
        <v>1</v>
      </c>
      <c r="C278" s="13" t="s">
        <v>52</v>
      </c>
      <c r="D278" s="13">
        <v>126</v>
      </c>
    </row>
    <row r="279" spans="1:4" ht="18.75" customHeight="1" x14ac:dyDescent="0.25">
      <c r="A279" s="12" t="s">
        <v>25</v>
      </c>
      <c r="B279" s="32">
        <v>1</v>
      </c>
      <c r="C279" s="13" t="s">
        <v>53</v>
      </c>
      <c r="D279" s="13">
        <v>126</v>
      </c>
    </row>
    <row r="280" spans="1:4" ht="18.75" customHeight="1" x14ac:dyDescent="0.25">
      <c r="A280" s="12" t="s">
        <v>25</v>
      </c>
      <c r="B280" s="32">
        <v>1</v>
      </c>
      <c r="C280" s="13" t="s">
        <v>54</v>
      </c>
      <c r="D280" s="13">
        <v>126</v>
      </c>
    </row>
    <row r="281" spans="1:4" ht="18.75" customHeight="1" x14ac:dyDescent="0.25">
      <c r="A281" s="12" t="s">
        <v>25</v>
      </c>
      <c r="B281" s="32">
        <v>1</v>
      </c>
      <c r="C281" s="13" t="s">
        <v>55</v>
      </c>
      <c r="D281" s="13">
        <v>126</v>
      </c>
    </row>
    <row r="282" spans="1:4" ht="18.75" customHeight="1" x14ac:dyDescent="0.25">
      <c r="A282" s="12" t="s">
        <v>25</v>
      </c>
      <c r="B282" s="32">
        <v>1</v>
      </c>
      <c r="C282" s="13" t="s">
        <v>56</v>
      </c>
      <c r="D282" s="13">
        <v>126</v>
      </c>
    </row>
    <row r="283" spans="1:4" ht="18.75" customHeight="1" x14ac:dyDescent="0.25">
      <c r="A283" s="12" t="s">
        <v>25</v>
      </c>
      <c r="B283" s="32">
        <v>1</v>
      </c>
      <c r="C283" s="13" t="s">
        <v>57</v>
      </c>
      <c r="D283" s="13">
        <v>126</v>
      </c>
    </row>
    <row r="284" spans="1:4" ht="18.75" customHeight="1" x14ac:dyDescent="0.25">
      <c r="A284" s="12" t="s">
        <v>25</v>
      </c>
      <c r="B284" s="33">
        <v>2</v>
      </c>
      <c r="C284" s="13" t="s">
        <v>47</v>
      </c>
      <c r="D284" s="13">
        <v>126</v>
      </c>
    </row>
    <row r="285" spans="1:4" ht="18.75" customHeight="1" x14ac:dyDescent="0.25">
      <c r="A285" s="12" t="s">
        <v>25</v>
      </c>
      <c r="B285" s="33">
        <v>2</v>
      </c>
      <c r="C285" s="13" t="s">
        <v>48</v>
      </c>
      <c r="D285" s="13">
        <v>126</v>
      </c>
    </row>
    <row r="286" spans="1:4" ht="18.75" customHeight="1" x14ac:dyDescent="0.25">
      <c r="A286" s="12" t="s">
        <v>25</v>
      </c>
      <c r="B286" s="33">
        <v>2</v>
      </c>
      <c r="C286" s="13" t="s">
        <v>49</v>
      </c>
      <c r="D286" s="13">
        <v>126</v>
      </c>
    </row>
    <row r="287" spans="1:4" ht="18.75" customHeight="1" x14ac:dyDescent="0.25">
      <c r="A287" s="12" t="s">
        <v>25</v>
      </c>
      <c r="B287" s="33">
        <v>2</v>
      </c>
      <c r="C287" s="13" t="s">
        <v>50</v>
      </c>
      <c r="D287" s="13">
        <v>126</v>
      </c>
    </row>
    <row r="288" spans="1:4" ht="18.75" customHeight="1" x14ac:dyDescent="0.25">
      <c r="A288" s="12" t="s">
        <v>25</v>
      </c>
      <c r="B288" s="33">
        <v>2</v>
      </c>
      <c r="C288" s="13" t="s">
        <v>51</v>
      </c>
      <c r="D288" s="13">
        <v>126</v>
      </c>
    </row>
    <row r="289" spans="1:4" ht="18.75" customHeight="1" x14ac:dyDescent="0.25">
      <c r="A289" s="12" t="s">
        <v>25</v>
      </c>
      <c r="B289" s="33">
        <v>2</v>
      </c>
      <c r="C289" s="13" t="s">
        <v>52</v>
      </c>
      <c r="D289" s="13">
        <v>126</v>
      </c>
    </row>
    <row r="290" spans="1:4" ht="18.75" customHeight="1" x14ac:dyDescent="0.25">
      <c r="A290" s="12" t="s">
        <v>25</v>
      </c>
      <c r="B290" s="33">
        <v>2</v>
      </c>
      <c r="C290" s="13" t="s">
        <v>53</v>
      </c>
      <c r="D290" s="13">
        <v>126</v>
      </c>
    </row>
    <row r="291" spans="1:4" ht="18.75" customHeight="1" x14ac:dyDescent="0.25">
      <c r="A291" s="12" t="s">
        <v>25</v>
      </c>
      <c r="B291" s="33">
        <v>2</v>
      </c>
      <c r="C291" s="13" t="s">
        <v>54</v>
      </c>
      <c r="D291" s="13">
        <v>126</v>
      </c>
    </row>
    <row r="292" spans="1:4" ht="18.75" customHeight="1" x14ac:dyDescent="0.25">
      <c r="A292" s="12" t="s">
        <v>25</v>
      </c>
      <c r="B292" s="33">
        <v>2</v>
      </c>
      <c r="C292" s="13" t="s">
        <v>55</v>
      </c>
      <c r="D292" s="13">
        <v>126</v>
      </c>
    </row>
    <row r="293" spans="1:4" ht="18.75" customHeight="1" x14ac:dyDescent="0.25">
      <c r="A293" s="12" t="s">
        <v>25</v>
      </c>
      <c r="B293" s="33">
        <v>2</v>
      </c>
      <c r="C293" s="13" t="s">
        <v>56</v>
      </c>
      <c r="D293" s="13">
        <v>126</v>
      </c>
    </row>
    <row r="294" spans="1:4" ht="18.75" customHeight="1" x14ac:dyDescent="0.25">
      <c r="A294" s="12" t="s">
        <v>25</v>
      </c>
      <c r="B294" s="33">
        <v>2</v>
      </c>
      <c r="C294" s="13" t="s">
        <v>57</v>
      </c>
      <c r="D294" s="13">
        <v>126</v>
      </c>
    </row>
    <row r="295" spans="1:4" ht="18.75" customHeight="1" x14ac:dyDescent="0.25">
      <c r="A295" s="12" t="s">
        <v>25</v>
      </c>
      <c r="B295" s="34">
        <v>3</v>
      </c>
      <c r="C295" s="13" t="s">
        <v>47</v>
      </c>
      <c r="D295" s="13">
        <v>100.4</v>
      </c>
    </row>
    <row r="296" spans="1:4" ht="18.75" customHeight="1" x14ac:dyDescent="0.25">
      <c r="A296" s="12" t="s">
        <v>25</v>
      </c>
      <c r="B296" s="34">
        <v>3</v>
      </c>
      <c r="C296" s="13" t="s">
        <v>48</v>
      </c>
      <c r="D296" s="13">
        <v>100.4</v>
      </c>
    </row>
    <row r="297" spans="1:4" ht="18.75" customHeight="1" x14ac:dyDescent="0.25">
      <c r="A297" s="12" t="s">
        <v>25</v>
      </c>
      <c r="B297" s="34">
        <v>3</v>
      </c>
      <c r="C297" s="13" t="s">
        <v>49</v>
      </c>
      <c r="D297" s="13">
        <v>100.4</v>
      </c>
    </row>
    <row r="298" spans="1:4" ht="18.75" customHeight="1" x14ac:dyDescent="0.25">
      <c r="A298" s="12" t="s">
        <v>25</v>
      </c>
      <c r="B298" s="34">
        <v>3</v>
      </c>
      <c r="C298" s="13" t="s">
        <v>50</v>
      </c>
      <c r="D298" s="13">
        <v>100.4</v>
      </c>
    </row>
    <row r="299" spans="1:4" ht="18.75" customHeight="1" x14ac:dyDescent="0.25">
      <c r="A299" s="12" t="s">
        <v>25</v>
      </c>
      <c r="B299" s="34">
        <v>3</v>
      </c>
      <c r="C299" s="13" t="s">
        <v>51</v>
      </c>
      <c r="D299" s="13">
        <v>100.4</v>
      </c>
    </row>
    <row r="300" spans="1:4" ht="18.75" customHeight="1" x14ac:dyDescent="0.25">
      <c r="A300" s="12" t="s">
        <v>25</v>
      </c>
      <c r="B300" s="34">
        <v>3</v>
      </c>
      <c r="C300" s="13" t="s">
        <v>52</v>
      </c>
      <c r="D300" s="13">
        <v>100.4</v>
      </c>
    </row>
    <row r="301" spans="1:4" ht="18.75" customHeight="1" x14ac:dyDescent="0.25">
      <c r="A301" s="12" t="s">
        <v>25</v>
      </c>
      <c r="B301" s="34">
        <v>3</v>
      </c>
      <c r="C301" s="13" t="s">
        <v>53</v>
      </c>
      <c r="D301" s="13">
        <v>100.4</v>
      </c>
    </row>
    <row r="302" spans="1:4" ht="18.75" customHeight="1" x14ac:dyDescent="0.25">
      <c r="A302" s="12" t="s">
        <v>25</v>
      </c>
      <c r="B302" s="34">
        <v>3</v>
      </c>
      <c r="C302" s="13" t="s">
        <v>54</v>
      </c>
      <c r="D302" s="13">
        <v>100.4</v>
      </c>
    </row>
    <row r="303" spans="1:4" ht="18.75" customHeight="1" x14ac:dyDescent="0.25">
      <c r="A303" s="12" t="s">
        <v>25</v>
      </c>
      <c r="B303" s="34">
        <v>3</v>
      </c>
      <c r="C303" s="13" t="s">
        <v>55</v>
      </c>
      <c r="D303" s="13">
        <v>100.4</v>
      </c>
    </row>
    <row r="304" spans="1:4" ht="18.75" customHeight="1" x14ac:dyDescent="0.25">
      <c r="A304" s="12" t="s">
        <v>25</v>
      </c>
      <c r="B304" s="34">
        <v>3</v>
      </c>
      <c r="C304" s="13" t="s">
        <v>56</v>
      </c>
      <c r="D304" s="13">
        <v>100.4</v>
      </c>
    </row>
    <row r="305" spans="1:5" ht="18.75" customHeight="1" x14ac:dyDescent="0.25">
      <c r="A305" s="12" t="s">
        <v>25</v>
      </c>
      <c r="B305" s="34">
        <v>3</v>
      </c>
      <c r="C305" s="13" t="s">
        <v>57</v>
      </c>
      <c r="D305" s="13">
        <v>100.4</v>
      </c>
    </row>
    <row r="306" spans="1:5" ht="18.75" customHeight="1" x14ac:dyDescent="0.25">
      <c r="A306" s="12" t="s">
        <v>25</v>
      </c>
      <c r="B306" s="35">
        <v>4</v>
      </c>
      <c r="C306" s="13" t="s">
        <v>47</v>
      </c>
      <c r="D306" s="13">
        <v>60</v>
      </c>
    </row>
    <row r="307" spans="1:5" ht="18.75" customHeight="1" x14ac:dyDescent="0.25">
      <c r="A307" s="12" t="s">
        <v>25</v>
      </c>
      <c r="B307" s="35">
        <v>4</v>
      </c>
      <c r="C307" s="13" t="s">
        <v>48</v>
      </c>
      <c r="D307" s="13">
        <v>60</v>
      </c>
    </row>
    <row r="308" spans="1:5" ht="18.75" customHeight="1" x14ac:dyDescent="0.25">
      <c r="A308" s="12" t="s">
        <v>25</v>
      </c>
      <c r="B308" s="35">
        <v>4</v>
      </c>
      <c r="C308" s="13" t="s">
        <v>49</v>
      </c>
      <c r="D308" s="13">
        <v>60</v>
      </c>
    </row>
    <row r="309" spans="1:5" ht="18.75" customHeight="1" x14ac:dyDescent="0.25">
      <c r="A309" s="12" t="s">
        <v>25</v>
      </c>
      <c r="B309" s="35">
        <v>4</v>
      </c>
      <c r="C309" s="13" t="s">
        <v>50</v>
      </c>
      <c r="D309" s="13">
        <v>60</v>
      </c>
    </row>
    <row r="310" spans="1:5" ht="18.75" customHeight="1" x14ac:dyDescent="0.25">
      <c r="A310" s="12" t="s">
        <v>25</v>
      </c>
      <c r="B310" s="35">
        <v>4</v>
      </c>
      <c r="C310" s="13" t="s">
        <v>51</v>
      </c>
      <c r="D310" s="13">
        <v>60</v>
      </c>
    </row>
    <row r="311" spans="1:5" ht="18.75" customHeight="1" x14ac:dyDescent="0.25">
      <c r="A311" s="12" t="s">
        <v>25</v>
      </c>
      <c r="B311" s="35">
        <v>4</v>
      </c>
      <c r="C311" s="13" t="s">
        <v>52</v>
      </c>
      <c r="D311" s="13">
        <v>60</v>
      </c>
    </row>
    <row r="312" spans="1:5" ht="18.75" customHeight="1" x14ac:dyDescent="0.25">
      <c r="A312" s="12" t="s">
        <v>25</v>
      </c>
      <c r="B312" s="35">
        <v>4</v>
      </c>
      <c r="C312" s="13" t="s">
        <v>53</v>
      </c>
      <c r="D312" s="13">
        <v>60</v>
      </c>
    </row>
    <row r="313" spans="1:5" ht="18.75" customHeight="1" x14ac:dyDescent="0.25">
      <c r="A313" s="12" t="s">
        <v>25</v>
      </c>
      <c r="B313" s="35">
        <v>4</v>
      </c>
      <c r="C313" s="13" t="s">
        <v>54</v>
      </c>
      <c r="D313" s="13">
        <v>60</v>
      </c>
    </row>
    <row r="314" spans="1:5" ht="18.75" customHeight="1" x14ac:dyDescent="0.25">
      <c r="A314" s="12" t="s">
        <v>25</v>
      </c>
      <c r="B314" s="35">
        <v>4</v>
      </c>
      <c r="C314" s="13" t="s">
        <v>55</v>
      </c>
      <c r="D314" s="13">
        <v>60</v>
      </c>
    </row>
    <row r="315" spans="1:5" ht="18.75" customHeight="1" x14ac:dyDescent="0.25">
      <c r="A315" s="12" t="s">
        <v>25</v>
      </c>
      <c r="B315" s="35">
        <v>4</v>
      </c>
      <c r="C315" s="13" t="s">
        <v>56</v>
      </c>
      <c r="D315" s="13">
        <v>60</v>
      </c>
    </row>
    <row r="316" spans="1:5" ht="18.75" customHeight="1" x14ac:dyDescent="0.25">
      <c r="A316" s="12" t="s">
        <v>25</v>
      </c>
      <c r="B316" s="35">
        <v>4</v>
      </c>
      <c r="C316" s="13" t="s">
        <v>57</v>
      </c>
      <c r="D316" s="13">
        <v>60</v>
      </c>
      <c r="E316" s="14">
        <f>SUM(D273:D316)</f>
        <v>4536.4000000000015</v>
      </c>
    </row>
    <row r="317" spans="1:5" x14ac:dyDescent="0.25">
      <c r="A317" s="15"/>
      <c r="B317" s="36"/>
      <c r="C317" s="16"/>
      <c r="D317" s="16"/>
    </row>
    <row r="318" spans="1:5" ht="18.75" customHeight="1" x14ac:dyDescent="0.25">
      <c r="A318" s="12" t="s">
        <v>12</v>
      </c>
      <c r="B318" s="32">
        <v>1</v>
      </c>
      <c r="C318" s="13" t="s">
        <v>47</v>
      </c>
      <c r="D318" s="13">
        <v>14.4</v>
      </c>
    </row>
    <row r="319" spans="1:5" ht="18.75" customHeight="1" x14ac:dyDescent="0.25">
      <c r="A319" s="12" t="s">
        <v>12</v>
      </c>
      <c r="B319" s="32">
        <v>1</v>
      </c>
      <c r="C319" s="13" t="s">
        <v>48</v>
      </c>
      <c r="D319" s="13">
        <v>14.4</v>
      </c>
    </row>
    <row r="320" spans="1:5" ht="18.75" customHeight="1" x14ac:dyDescent="0.25">
      <c r="A320" s="12" t="s">
        <v>12</v>
      </c>
      <c r="B320" s="32">
        <v>1</v>
      </c>
      <c r="C320" s="13" t="s">
        <v>49</v>
      </c>
      <c r="D320" s="13">
        <v>14.4</v>
      </c>
    </row>
    <row r="321" spans="1:13" ht="18.75" customHeight="1" x14ac:dyDescent="0.25">
      <c r="A321" s="12" t="s">
        <v>12</v>
      </c>
      <c r="B321" s="32">
        <v>1</v>
      </c>
      <c r="C321" s="13" t="s">
        <v>50</v>
      </c>
      <c r="D321" s="13">
        <v>14.4</v>
      </c>
    </row>
    <row r="322" spans="1:13" ht="18.75" customHeight="1" x14ac:dyDescent="0.25">
      <c r="A322" s="12" t="s">
        <v>12</v>
      </c>
      <c r="B322" s="32">
        <v>1</v>
      </c>
      <c r="C322" s="13" t="s">
        <v>51</v>
      </c>
      <c r="D322" s="13">
        <v>14.4</v>
      </c>
    </row>
    <row r="323" spans="1:13" ht="18.75" customHeight="1" x14ac:dyDescent="0.25">
      <c r="A323" s="12" t="s">
        <v>12</v>
      </c>
      <c r="B323" s="32">
        <v>1</v>
      </c>
      <c r="C323" s="13" t="s">
        <v>52</v>
      </c>
      <c r="D323" s="13">
        <v>14.4</v>
      </c>
    </row>
    <row r="324" spans="1:13" ht="18.75" customHeight="1" x14ac:dyDescent="0.25">
      <c r="A324" s="12" t="s">
        <v>12</v>
      </c>
      <c r="B324" s="32">
        <v>1</v>
      </c>
      <c r="C324" s="13" t="s">
        <v>53</v>
      </c>
      <c r="D324" s="13">
        <v>14.4</v>
      </c>
    </row>
    <row r="325" spans="1:13" ht="18.75" customHeight="1" x14ac:dyDescent="0.25">
      <c r="A325" s="12" t="s">
        <v>12</v>
      </c>
      <c r="B325" s="32">
        <v>1</v>
      </c>
      <c r="C325" s="13" t="s">
        <v>54</v>
      </c>
      <c r="D325" s="13">
        <v>14.4</v>
      </c>
    </row>
    <row r="326" spans="1:13" ht="18.75" customHeight="1" x14ac:dyDescent="0.25">
      <c r="A326" s="12" t="s">
        <v>12</v>
      </c>
      <c r="B326" s="32">
        <v>1</v>
      </c>
      <c r="C326" s="13" t="s">
        <v>55</v>
      </c>
      <c r="D326" s="13">
        <v>14.4</v>
      </c>
    </row>
    <row r="327" spans="1:13" ht="18.75" customHeight="1" x14ac:dyDescent="0.25">
      <c r="A327" s="12" t="s">
        <v>12</v>
      </c>
      <c r="B327" s="32">
        <v>1</v>
      </c>
      <c r="C327" s="13" t="s">
        <v>56</v>
      </c>
      <c r="D327" s="13">
        <v>14.4</v>
      </c>
    </row>
    <row r="328" spans="1:13" ht="18.75" customHeight="1" x14ac:dyDescent="0.25">
      <c r="A328" s="12" t="s">
        <v>12</v>
      </c>
      <c r="B328" s="32">
        <v>1</v>
      </c>
      <c r="C328" s="13" t="s">
        <v>57</v>
      </c>
      <c r="D328" s="13">
        <v>14.4</v>
      </c>
    </row>
    <row r="329" spans="1:13" ht="18.75" customHeight="1" x14ac:dyDescent="0.25">
      <c r="A329" s="12" t="s">
        <v>12</v>
      </c>
      <c r="B329" s="33">
        <v>2</v>
      </c>
      <c r="C329" s="13" t="s">
        <v>47</v>
      </c>
      <c r="D329" s="13">
        <v>8.1</v>
      </c>
    </row>
    <row r="330" spans="1:13" ht="18.75" customHeight="1" x14ac:dyDescent="0.25">
      <c r="A330" s="12" t="s">
        <v>12</v>
      </c>
      <c r="B330" s="33">
        <v>2</v>
      </c>
      <c r="C330" s="13" t="s">
        <v>48</v>
      </c>
      <c r="D330" s="13">
        <v>8.1</v>
      </c>
    </row>
    <row r="331" spans="1:13" ht="18.75" customHeight="1" x14ac:dyDescent="0.25">
      <c r="A331" s="12" t="s">
        <v>12</v>
      </c>
      <c r="B331" s="33">
        <v>2</v>
      </c>
      <c r="C331" s="13" t="s">
        <v>49</v>
      </c>
      <c r="D331" s="13">
        <v>8.1</v>
      </c>
    </row>
    <row r="332" spans="1:13" ht="18.75" customHeight="1" x14ac:dyDescent="0.25">
      <c r="A332" s="12" t="s">
        <v>12</v>
      </c>
      <c r="B332" s="33">
        <v>2</v>
      </c>
      <c r="C332" s="13" t="s">
        <v>50</v>
      </c>
      <c r="D332" s="13">
        <v>8.1</v>
      </c>
    </row>
    <row r="333" spans="1:13" ht="18.75" customHeight="1" x14ac:dyDescent="0.25">
      <c r="A333" s="12" t="s">
        <v>12</v>
      </c>
      <c r="B333" s="33">
        <v>2</v>
      </c>
      <c r="C333" s="13" t="s">
        <v>51</v>
      </c>
      <c r="D333" s="13">
        <v>8.1</v>
      </c>
    </row>
    <row r="334" spans="1:13" ht="18.75" customHeight="1" x14ac:dyDescent="0.25">
      <c r="A334" s="12" t="s">
        <v>12</v>
      </c>
      <c r="B334" s="33">
        <v>2</v>
      </c>
      <c r="C334" s="13" t="s">
        <v>52</v>
      </c>
      <c r="D334" s="13">
        <v>8.1</v>
      </c>
    </row>
    <row r="335" spans="1:13" ht="18.75" customHeight="1" x14ac:dyDescent="0.25">
      <c r="A335" s="12" t="s">
        <v>12</v>
      </c>
      <c r="B335" s="33">
        <v>2</v>
      </c>
      <c r="C335" s="13" t="s">
        <v>53</v>
      </c>
      <c r="D335" s="13">
        <v>8.1</v>
      </c>
    </row>
    <row r="336" spans="1:13" ht="18.75" customHeight="1" x14ac:dyDescent="0.25">
      <c r="A336" s="12" t="s">
        <v>12</v>
      </c>
      <c r="B336" s="33">
        <v>2</v>
      </c>
      <c r="C336" s="13" t="s">
        <v>54</v>
      </c>
      <c r="D336" s="13">
        <v>8.1</v>
      </c>
      <c r="M336" s="13">
        <v>8.1</v>
      </c>
    </row>
    <row r="337" spans="1:13" ht="18.75" customHeight="1" x14ac:dyDescent="0.25">
      <c r="A337" s="12" t="s">
        <v>12</v>
      </c>
      <c r="B337" s="33">
        <v>2</v>
      </c>
      <c r="C337" s="13" t="s">
        <v>55</v>
      </c>
      <c r="D337" s="13">
        <v>8.1</v>
      </c>
      <c r="M337" s="13">
        <v>8.1</v>
      </c>
    </row>
    <row r="338" spans="1:13" ht="18.75" customHeight="1" x14ac:dyDescent="0.25">
      <c r="A338" s="12" t="s">
        <v>12</v>
      </c>
      <c r="B338" s="33">
        <v>2</v>
      </c>
      <c r="C338" s="13" t="s">
        <v>56</v>
      </c>
      <c r="D338" s="13">
        <v>8.1</v>
      </c>
      <c r="M338" s="13">
        <v>8.1</v>
      </c>
    </row>
    <row r="339" spans="1:13" ht="18.75" customHeight="1" x14ac:dyDescent="0.25">
      <c r="A339" s="12" t="s">
        <v>12</v>
      </c>
      <c r="B339" s="33">
        <v>2</v>
      </c>
      <c r="C339" s="13" t="s">
        <v>57</v>
      </c>
      <c r="D339" s="13">
        <v>8.1</v>
      </c>
      <c r="M339" s="13">
        <v>8.1</v>
      </c>
    </row>
    <row r="340" spans="1:13" ht="18.75" customHeight="1" x14ac:dyDescent="0.25">
      <c r="A340" s="12" t="s">
        <v>12</v>
      </c>
      <c r="B340" s="34">
        <v>3</v>
      </c>
      <c r="C340" s="13" t="s">
        <v>47</v>
      </c>
      <c r="D340" s="13">
        <v>8.1</v>
      </c>
      <c r="M340" s="13">
        <v>8.1</v>
      </c>
    </row>
    <row r="341" spans="1:13" ht="18.75" customHeight="1" x14ac:dyDescent="0.25">
      <c r="A341" s="12" t="s">
        <v>12</v>
      </c>
      <c r="B341" s="34">
        <v>3</v>
      </c>
      <c r="C341" s="13" t="s">
        <v>48</v>
      </c>
      <c r="D341" s="13">
        <v>8.1</v>
      </c>
      <c r="M341" s="13">
        <v>8.1</v>
      </c>
    </row>
    <row r="342" spans="1:13" ht="18.75" customHeight="1" x14ac:dyDescent="0.25">
      <c r="A342" s="12" t="s">
        <v>12</v>
      </c>
      <c r="B342" s="34">
        <v>3</v>
      </c>
      <c r="C342" s="13" t="s">
        <v>49</v>
      </c>
      <c r="D342" s="13">
        <v>8.1</v>
      </c>
      <c r="M342" s="13">
        <v>8.1</v>
      </c>
    </row>
    <row r="343" spans="1:13" ht="18.75" customHeight="1" x14ac:dyDescent="0.25">
      <c r="A343" s="12" t="s">
        <v>12</v>
      </c>
      <c r="B343" s="34">
        <v>3</v>
      </c>
      <c r="C343" s="13" t="s">
        <v>50</v>
      </c>
      <c r="D343" s="13">
        <v>8.1</v>
      </c>
      <c r="M343" s="13">
        <v>8.1</v>
      </c>
    </row>
    <row r="344" spans="1:13" ht="18.75" customHeight="1" x14ac:dyDescent="0.25">
      <c r="A344" s="12" t="s">
        <v>12</v>
      </c>
      <c r="B344" s="34">
        <v>3</v>
      </c>
      <c r="C344" s="13" t="s">
        <v>51</v>
      </c>
      <c r="D344" s="13">
        <v>8.1</v>
      </c>
      <c r="M344" s="13">
        <v>8.1</v>
      </c>
    </row>
    <row r="345" spans="1:13" ht="18.75" customHeight="1" x14ac:dyDescent="0.25">
      <c r="A345" s="12" t="s">
        <v>12</v>
      </c>
      <c r="B345" s="34">
        <v>3</v>
      </c>
      <c r="C345" s="13" t="s">
        <v>52</v>
      </c>
      <c r="D345" s="13">
        <v>8.1</v>
      </c>
      <c r="M345" s="13">
        <v>8.1</v>
      </c>
    </row>
    <row r="346" spans="1:13" ht="18.75" customHeight="1" x14ac:dyDescent="0.25">
      <c r="A346" s="12" t="s">
        <v>12</v>
      </c>
      <c r="B346" s="34">
        <v>3</v>
      </c>
      <c r="C346" s="13" t="s">
        <v>53</v>
      </c>
      <c r="D346" s="13">
        <v>8.1</v>
      </c>
      <c r="M346" s="13">
        <v>8.1</v>
      </c>
    </row>
    <row r="347" spans="1:13" ht="18.75" customHeight="1" x14ac:dyDescent="0.25">
      <c r="A347" s="12" t="s">
        <v>12</v>
      </c>
      <c r="B347" s="34">
        <v>3</v>
      </c>
      <c r="C347" s="13" t="s">
        <v>54</v>
      </c>
      <c r="D347" s="13">
        <v>8.1</v>
      </c>
    </row>
    <row r="348" spans="1:13" ht="18.75" customHeight="1" x14ac:dyDescent="0.25">
      <c r="A348" s="12" t="s">
        <v>12</v>
      </c>
      <c r="B348" s="34">
        <v>3</v>
      </c>
      <c r="C348" s="13" t="s">
        <v>55</v>
      </c>
      <c r="D348" s="13">
        <v>8.1</v>
      </c>
    </row>
    <row r="349" spans="1:13" ht="18.75" customHeight="1" x14ac:dyDescent="0.25">
      <c r="A349" s="12" t="s">
        <v>12</v>
      </c>
      <c r="B349" s="34">
        <v>3</v>
      </c>
      <c r="C349" s="13" t="s">
        <v>56</v>
      </c>
      <c r="D349" s="13">
        <v>8.1</v>
      </c>
    </row>
    <row r="350" spans="1:13" ht="18.75" customHeight="1" x14ac:dyDescent="0.25">
      <c r="A350" s="12" t="s">
        <v>12</v>
      </c>
      <c r="B350" s="34">
        <v>3</v>
      </c>
      <c r="C350" s="13" t="s">
        <v>57</v>
      </c>
      <c r="D350" s="13">
        <v>8.1</v>
      </c>
    </row>
    <row r="351" spans="1:13" ht="18.75" customHeight="1" x14ac:dyDescent="0.25">
      <c r="A351" s="12" t="s">
        <v>12</v>
      </c>
      <c r="B351" s="35">
        <v>4</v>
      </c>
      <c r="C351" s="13" t="s">
        <v>47</v>
      </c>
      <c r="D351" s="13">
        <v>14.4</v>
      </c>
    </row>
    <row r="352" spans="1:13" ht="18.75" customHeight="1" x14ac:dyDescent="0.25">
      <c r="A352" s="12" t="s">
        <v>12</v>
      </c>
      <c r="B352" s="35">
        <v>4</v>
      </c>
      <c r="C352" s="13" t="s">
        <v>48</v>
      </c>
      <c r="D352" s="13">
        <v>14.4</v>
      </c>
    </row>
    <row r="353" spans="1:5" ht="18.75" customHeight="1" x14ac:dyDescent="0.25">
      <c r="A353" s="12" t="s">
        <v>12</v>
      </c>
      <c r="B353" s="35">
        <v>4</v>
      </c>
      <c r="C353" s="13" t="s">
        <v>49</v>
      </c>
      <c r="D353" s="13">
        <v>14.4</v>
      </c>
    </row>
    <row r="354" spans="1:5" ht="18.75" customHeight="1" x14ac:dyDescent="0.25">
      <c r="A354" s="12" t="s">
        <v>12</v>
      </c>
      <c r="B354" s="35">
        <v>4</v>
      </c>
      <c r="C354" s="13" t="s">
        <v>50</v>
      </c>
      <c r="D354" s="13">
        <v>14.4</v>
      </c>
    </row>
    <row r="355" spans="1:5" ht="18.75" customHeight="1" x14ac:dyDescent="0.25">
      <c r="A355" s="12" t="s">
        <v>12</v>
      </c>
      <c r="B355" s="35">
        <v>4</v>
      </c>
      <c r="C355" s="13" t="s">
        <v>51</v>
      </c>
      <c r="D355" s="13">
        <v>14.4</v>
      </c>
    </row>
    <row r="356" spans="1:5" ht="18.75" customHeight="1" x14ac:dyDescent="0.25">
      <c r="A356" s="12" t="s">
        <v>12</v>
      </c>
      <c r="B356" s="35">
        <v>4</v>
      </c>
      <c r="C356" s="13" t="s">
        <v>52</v>
      </c>
      <c r="D356" s="13">
        <v>14.4</v>
      </c>
    </row>
    <row r="357" spans="1:5" ht="18.75" customHeight="1" x14ac:dyDescent="0.25">
      <c r="A357" s="12" t="s">
        <v>12</v>
      </c>
      <c r="B357" s="35">
        <v>4</v>
      </c>
      <c r="C357" s="13" t="s">
        <v>53</v>
      </c>
      <c r="D357" s="13">
        <v>14.4</v>
      </c>
    </row>
    <row r="358" spans="1:5" ht="18.75" customHeight="1" x14ac:dyDescent="0.25">
      <c r="A358" s="12" t="s">
        <v>12</v>
      </c>
      <c r="B358" s="35">
        <v>4</v>
      </c>
      <c r="C358" s="13" t="s">
        <v>54</v>
      </c>
      <c r="D358" s="13">
        <v>14.4</v>
      </c>
    </row>
    <row r="359" spans="1:5" ht="18.75" customHeight="1" x14ac:dyDescent="0.25">
      <c r="A359" s="12" t="s">
        <v>12</v>
      </c>
      <c r="B359" s="35">
        <v>4</v>
      </c>
      <c r="C359" s="13" t="s">
        <v>55</v>
      </c>
      <c r="D359" s="13">
        <v>14.4</v>
      </c>
    </row>
    <row r="360" spans="1:5" ht="18.75" customHeight="1" x14ac:dyDescent="0.25">
      <c r="A360" s="12" t="s">
        <v>12</v>
      </c>
      <c r="B360" s="35">
        <v>4</v>
      </c>
      <c r="C360" s="13" t="s">
        <v>56</v>
      </c>
      <c r="D360" s="13">
        <v>14.4</v>
      </c>
    </row>
    <row r="361" spans="1:5" ht="18.75" customHeight="1" x14ac:dyDescent="0.25">
      <c r="A361" s="12" t="s">
        <v>12</v>
      </c>
      <c r="B361" s="35">
        <v>4</v>
      </c>
      <c r="C361" s="13" t="s">
        <v>57</v>
      </c>
      <c r="D361" s="13">
        <v>14.4</v>
      </c>
      <c r="E361" s="14">
        <f>SUM(D318:D361)</f>
        <v>494.99999999999994</v>
      </c>
    </row>
    <row r="362" spans="1:5" x14ac:dyDescent="0.25">
      <c r="A362" s="15"/>
      <c r="B362" s="36"/>
      <c r="C362" s="16"/>
      <c r="D362" s="16"/>
    </row>
    <row r="363" spans="1:5" ht="18.75" customHeight="1" x14ac:dyDescent="0.25">
      <c r="A363" s="12" t="s">
        <v>22</v>
      </c>
      <c r="B363" s="32">
        <v>1</v>
      </c>
      <c r="C363" s="13" t="s">
        <v>47</v>
      </c>
      <c r="D363" s="13">
        <v>54.5</v>
      </c>
    </row>
    <row r="364" spans="1:5" ht="18.75" customHeight="1" x14ac:dyDescent="0.25">
      <c r="A364" s="12" t="s">
        <v>22</v>
      </c>
      <c r="B364" s="32">
        <v>1</v>
      </c>
      <c r="C364" s="13" t="s">
        <v>48</v>
      </c>
      <c r="D364" s="13">
        <v>54.5</v>
      </c>
    </row>
    <row r="365" spans="1:5" ht="18.75" customHeight="1" x14ac:dyDescent="0.25">
      <c r="A365" s="12" t="s">
        <v>22</v>
      </c>
      <c r="B365" s="32">
        <v>1</v>
      </c>
      <c r="C365" s="13" t="s">
        <v>49</v>
      </c>
      <c r="D365" s="13">
        <v>54.5</v>
      </c>
    </row>
    <row r="366" spans="1:5" ht="18.75" customHeight="1" x14ac:dyDescent="0.25">
      <c r="A366" s="12" t="s">
        <v>22</v>
      </c>
      <c r="B366" s="32">
        <v>1</v>
      </c>
      <c r="C366" s="13" t="s">
        <v>50</v>
      </c>
      <c r="D366" s="13">
        <v>54.5</v>
      </c>
    </row>
    <row r="367" spans="1:5" ht="18.75" customHeight="1" x14ac:dyDescent="0.25">
      <c r="A367" s="12" t="s">
        <v>22</v>
      </c>
      <c r="B367" s="32">
        <v>1</v>
      </c>
      <c r="C367" s="13" t="s">
        <v>51</v>
      </c>
      <c r="D367" s="13">
        <v>54.5</v>
      </c>
    </row>
    <row r="368" spans="1:5" ht="18.75" customHeight="1" x14ac:dyDescent="0.25">
      <c r="A368" s="12" t="s">
        <v>22</v>
      </c>
      <c r="B368" s="32">
        <v>1</v>
      </c>
      <c r="C368" s="13" t="s">
        <v>52</v>
      </c>
      <c r="D368" s="13">
        <v>54.5</v>
      </c>
    </row>
    <row r="369" spans="1:4" ht="18.75" customHeight="1" x14ac:dyDescent="0.25">
      <c r="A369" s="12" t="s">
        <v>22</v>
      </c>
      <c r="B369" s="32">
        <v>1</v>
      </c>
      <c r="C369" s="13" t="s">
        <v>53</v>
      </c>
      <c r="D369" s="13">
        <v>54.5</v>
      </c>
    </row>
    <row r="370" spans="1:4" ht="18.75" customHeight="1" x14ac:dyDescent="0.25">
      <c r="A370" s="12" t="s">
        <v>22</v>
      </c>
      <c r="B370" s="32">
        <v>1</v>
      </c>
      <c r="C370" s="13" t="s">
        <v>54</v>
      </c>
      <c r="D370" s="13">
        <v>54.5</v>
      </c>
    </row>
    <row r="371" spans="1:4" ht="18.75" customHeight="1" x14ac:dyDescent="0.25">
      <c r="A371" s="12" t="s">
        <v>22</v>
      </c>
      <c r="B371" s="32">
        <v>1</v>
      </c>
      <c r="C371" s="13" t="s">
        <v>55</v>
      </c>
      <c r="D371" s="13">
        <v>54.5</v>
      </c>
    </row>
    <row r="372" spans="1:4" ht="18.75" customHeight="1" x14ac:dyDescent="0.25">
      <c r="A372" s="12" t="s">
        <v>22</v>
      </c>
      <c r="B372" s="32">
        <v>1</v>
      </c>
      <c r="C372" s="13" t="s">
        <v>56</v>
      </c>
      <c r="D372" s="13">
        <v>54.5</v>
      </c>
    </row>
    <row r="373" spans="1:4" ht="18.75" customHeight="1" x14ac:dyDescent="0.25">
      <c r="A373" s="12" t="s">
        <v>22</v>
      </c>
      <c r="B373" s="32">
        <v>1</v>
      </c>
      <c r="C373" s="13" t="s">
        <v>57</v>
      </c>
      <c r="D373" s="13">
        <v>54.5</v>
      </c>
    </row>
    <row r="374" spans="1:4" ht="18.75" customHeight="1" x14ac:dyDescent="0.25">
      <c r="A374" s="12" t="s">
        <v>22</v>
      </c>
      <c r="B374" s="33">
        <v>2</v>
      </c>
      <c r="C374" s="13" t="s">
        <v>47</v>
      </c>
      <c r="D374" s="13">
        <v>54.5</v>
      </c>
    </row>
    <row r="375" spans="1:4" ht="18.75" customHeight="1" x14ac:dyDescent="0.25">
      <c r="A375" s="12" t="s">
        <v>22</v>
      </c>
      <c r="B375" s="33">
        <v>2</v>
      </c>
      <c r="C375" s="13" t="s">
        <v>48</v>
      </c>
      <c r="D375" s="13">
        <v>54.5</v>
      </c>
    </row>
    <row r="376" spans="1:4" ht="18.75" customHeight="1" x14ac:dyDescent="0.25">
      <c r="A376" s="12" t="s">
        <v>22</v>
      </c>
      <c r="B376" s="33">
        <v>2</v>
      </c>
      <c r="C376" s="13" t="s">
        <v>49</v>
      </c>
      <c r="D376" s="13">
        <v>54.5</v>
      </c>
    </row>
    <row r="377" spans="1:4" ht="18.75" customHeight="1" x14ac:dyDescent="0.25">
      <c r="A377" s="12" t="s">
        <v>22</v>
      </c>
      <c r="B377" s="33">
        <v>2</v>
      </c>
      <c r="C377" s="13" t="s">
        <v>50</v>
      </c>
      <c r="D377" s="13">
        <v>54.5</v>
      </c>
    </row>
    <row r="378" spans="1:4" ht="18.75" customHeight="1" x14ac:dyDescent="0.25">
      <c r="A378" s="12" t="s">
        <v>22</v>
      </c>
      <c r="B378" s="33">
        <v>2</v>
      </c>
      <c r="C378" s="13" t="s">
        <v>51</v>
      </c>
      <c r="D378" s="13">
        <v>54.5</v>
      </c>
    </row>
    <row r="379" spans="1:4" ht="18.75" customHeight="1" x14ac:dyDescent="0.25">
      <c r="A379" s="12" t="s">
        <v>22</v>
      </c>
      <c r="B379" s="33">
        <v>2</v>
      </c>
      <c r="C379" s="13" t="s">
        <v>52</v>
      </c>
      <c r="D379" s="13">
        <v>54.5</v>
      </c>
    </row>
    <row r="380" spans="1:4" ht="18.75" customHeight="1" x14ac:dyDescent="0.25">
      <c r="A380" s="12" t="s">
        <v>22</v>
      </c>
      <c r="B380" s="33">
        <v>2</v>
      </c>
      <c r="C380" s="13" t="s">
        <v>53</v>
      </c>
      <c r="D380" s="13">
        <v>54.5</v>
      </c>
    </row>
    <row r="381" spans="1:4" ht="18.75" customHeight="1" x14ac:dyDescent="0.25">
      <c r="A381" s="12" t="s">
        <v>22</v>
      </c>
      <c r="B381" s="33">
        <v>2</v>
      </c>
      <c r="C381" s="13" t="s">
        <v>54</v>
      </c>
      <c r="D381" s="13">
        <v>54.5</v>
      </c>
    </row>
    <row r="382" spans="1:4" ht="18.75" customHeight="1" x14ac:dyDescent="0.25">
      <c r="A382" s="12" t="s">
        <v>22</v>
      </c>
      <c r="B382" s="33">
        <v>2</v>
      </c>
      <c r="C382" s="13" t="s">
        <v>55</v>
      </c>
      <c r="D382" s="13">
        <v>54.5</v>
      </c>
    </row>
    <row r="383" spans="1:4" ht="18.75" customHeight="1" x14ac:dyDescent="0.25">
      <c r="A383" s="12" t="s">
        <v>22</v>
      </c>
      <c r="B383" s="33">
        <v>2</v>
      </c>
      <c r="C383" s="13" t="s">
        <v>56</v>
      </c>
      <c r="D383" s="13">
        <v>54.5</v>
      </c>
    </row>
    <row r="384" spans="1:4" ht="18.75" customHeight="1" x14ac:dyDescent="0.25">
      <c r="A384" s="12" t="s">
        <v>22</v>
      </c>
      <c r="B384" s="33">
        <v>2</v>
      </c>
      <c r="C384" s="13" t="s">
        <v>57</v>
      </c>
      <c r="D384" s="13">
        <v>54.5</v>
      </c>
    </row>
    <row r="385" spans="1:4" ht="18.75" customHeight="1" x14ac:dyDescent="0.25">
      <c r="A385" s="12" t="s">
        <v>22</v>
      </c>
      <c r="B385" s="34">
        <v>3</v>
      </c>
      <c r="C385" s="13" t="s">
        <v>47</v>
      </c>
      <c r="D385" s="13">
        <v>39.1</v>
      </c>
    </row>
    <row r="386" spans="1:4" ht="18.75" customHeight="1" x14ac:dyDescent="0.25">
      <c r="A386" s="12" t="s">
        <v>22</v>
      </c>
      <c r="B386" s="34">
        <v>3</v>
      </c>
      <c r="C386" s="13" t="s">
        <v>48</v>
      </c>
      <c r="D386" s="13">
        <v>39.1</v>
      </c>
    </row>
    <row r="387" spans="1:4" ht="18.75" customHeight="1" x14ac:dyDescent="0.25">
      <c r="A387" s="12" t="s">
        <v>22</v>
      </c>
      <c r="B387" s="34">
        <v>3</v>
      </c>
      <c r="C387" s="13" t="s">
        <v>49</v>
      </c>
      <c r="D387" s="13">
        <v>39.1</v>
      </c>
    </row>
    <row r="388" spans="1:4" ht="18.75" customHeight="1" x14ac:dyDescent="0.25">
      <c r="A388" s="12" t="s">
        <v>22</v>
      </c>
      <c r="B388" s="34">
        <v>3</v>
      </c>
      <c r="C388" s="13" t="s">
        <v>50</v>
      </c>
      <c r="D388" s="13">
        <v>39.1</v>
      </c>
    </row>
    <row r="389" spans="1:4" ht="18.75" customHeight="1" x14ac:dyDescent="0.25">
      <c r="A389" s="12" t="s">
        <v>22</v>
      </c>
      <c r="B389" s="34">
        <v>3</v>
      </c>
      <c r="C389" s="13" t="s">
        <v>51</v>
      </c>
      <c r="D389" s="13">
        <v>39.1</v>
      </c>
    </row>
    <row r="390" spans="1:4" ht="18.75" customHeight="1" x14ac:dyDescent="0.25">
      <c r="A390" s="12" t="s">
        <v>22</v>
      </c>
      <c r="B390" s="34">
        <v>3</v>
      </c>
      <c r="C390" s="13" t="s">
        <v>52</v>
      </c>
      <c r="D390" s="13">
        <v>39.1</v>
      </c>
    </row>
    <row r="391" spans="1:4" ht="18.75" customHeight="1" x14ac:dyDescent="0.25">
      <c r="A391" s="12" t="s">
        <v>22</v>
      </c>
      <c r="B391" s="34">
        <v>3</v>
      </c>
      <c r="C391" s="13" t="s">
        <v>53</v>
      </c>
      <c r="D391" s="13">
        <v>39.1</v>
      </c>
    </row>
    <row r="392" spans="1:4" ht="18.75" customHeight="1" x14ac:dyDescent="0.25">
      <c r="A392" s="12" t="s">
        <v>22</v>
      </c>
      <c r="B392" s="34">
        <v>3</v>
      </c>
      <c r="C392" s="13" t="s">
        <v>54</v>
      </c>
      <c r="D392" s="13">
        <v>39.1</v>
      </c>
    </row>
    <row r="393" spans="1:4" ht="18.75" customHeight="1" x14ac:dyDescent="0.25">
      <c r="A393" s="12" t="s">
        <v>22</v>
      </c>
      <c r="B393" s="34">
        <v>3</v>
      </c>
      <c r="C393" s="13" t="s">
        <v>55</v>
      </c>
      <c r="D393" s="13">
        <v>39.1</v>
      </c>
    </row>
    <row r="394" spans="1:4" ht="18.75" customHeight="1" x14ac:dyDescent="0.25">
      <c r="A394" s="12" t="s">
        <v>22</v>
      </c>
      <c r="B394" s="34">
        <v>3</v>
      </c>
      <c r="C394" s="13" t="s">
        <v>56</v>
      </c>
      <c r="D394" s="13">
        <v>39.1</v>
      </c>
    </row>
    <row r="395" spans="1:4" ht="18.75" customHeight="1" x14ac:dyDescent="0.25">
      <c r="A395" s="12" t="s">
        <v>22</v>
      </c>
      <c r="B395" s="34">
        <v>3</v>
      </c>
      <c r="C395" s="13" t="s">
        <v>57</v>
      </c>
      <c r="D395" s="13">
        <v>39.1</v>
      </c>
    </row>
    <row r="396" spans="1:4" ht="18.75" customHeight="1" x14ac:dyDescent="0.25">
      <c r="A396" s="12" t="s">
        <v>22</v>
      </c>
      <c r="B396" s="35">
        <v>4</v>
      </c>
      <c r="C396" s="13" t="s">
        <v>47</v>
      </c>
      <c r="D396" s="13">
        <v>30.8</v>
      </c>
    </row>
    <row r="397" spans="1:4" ht="18.75" customHeight="1" x14ac:dyDescent="0.25">
      <c r="A397" s="12" t="s">
        <v>22</v>
      </c>
      <c r="B397" s="35">
        <v>4</v>
      </c>
      <c r="C397" s="13" t="s">
        <v>48</v>
      </c>
      <c r="D397" s="13">
        <v>30.8</v>
      </c>
    </row>
    <row r="398" spans="1:4" ht="18.75" customHeight="1" x14ac:dyDescent="0.25">
      <c r="A398" s="12" t="s">
        <v>22</v>
      </c>
      <c r="B398" s="35">
        <v>4</v>
      </c>
      <c r="C398" s="13" t="s">
        <v>49</v>
      </c>
      <c r="D398" s="13">
        <v>30.8</v>
      </c>
    </row>
    <row r="399" spans="1:4" ht="18.75" customHeight="1" x14ac:dyDescent="0.25">
      <c r="A399" s="12" t="s">
        <v>22</v>
      </c>
      <c r="B399" s="35">
        <v>4</v>
      </c>
      <c r="C399" s="13" t="s">
        <v>50</v>
      </c>
      <c r="D399" s="13">
        <v>30.8</v>
      </c>
    </row>
    <row r="400" spans="1:4" ht="18.75" customHeight="1" x14ac:dyDescent="0.25">
      <c r="A400" s="12" t="s">
        <v>22</v>
      </c>
      <c r="B400" s="35">
        <v>4</v>
      </c>
      <c r="C400" s="13" t="s">
        <v>51</v>
      </c>
      <c r="D400" s="13">
        <v>30.8</v>
      </c>
    </row>
    <row r="401" spans="1:5" ht="18.75" customHeight="1" x14ac:dyDescent="0.25">
      <c r="A401" s="12" t="s">
        <v>22</v>
      </c>
      <c r="B401" s="35">
        <v>4</v>
      </c>
      <c r="C401" s="13" t="s">
        <v>52</v>
      </c>
      <c r="D401" s="13">
        <v>30.8</v>
      </c>
    </row>
    <row r="402" spans="1:5" ht="18.75" customHeight="1" x14ac:dyDescent="0.25">
      <c r="A402" s="12" t="s">
        <v>22</v>
      </c>
      <c r="B402" s="35">
        <v>4</v>
      </c>
      <c r="C402" s="13" t="s">
        <v>53</v>
      </c>
      <c r="D402" s="13">
        <v>30.8</v>
      </c>
    </row>
    <row r="403" spans="1:5" ht="18.75" customHeight="1" x14ac:dyDescent="0.25">
      <c r="A403" s="12" t="s">
        <v>22</v>
      </c>
      <c r="B403" s="35">
        <v>4</v>
      </c>
      <c r="C403" s="13" t="s">
        <v>54</v>
      </c>
      <c r="D403" s="13">
        <v>30.8</v>
      </c>
    </row>
    <row r="404" spans="1:5" ht="18.75" customHeight="1" x14ac:dyDescent="0.25">
      <c r="A404" s="12" t="s">
        <v>22</v>
      </c>
      <c r="B404" s="35">
        <v>4</v>
      </c>
      <c r="C404" s="13" t="s">
        <v>55</v>
      </c>
      <c r="D404" s="13">
        <v>30.8</v>
      </c>
    </row>
    <row r="405" spans="1:5" ht="18.75" customHeight="1" x14ac:dyDescent="0.25">
      <c r="A405" s="12" t="s">
        <v>22</v>
      </c>
      <c r="B405" s="35">
        <v>4</v>
      </c>
      <c r="C405" s="13" t="s">
        <v>56</v>
      </c>
      <c r="D405" s="13">
        <v>30.8</v>
      </c>
    </row>
    <row r="406" spans="1:5" ht="18.75" customHeight="1" x14ac:dyDescent="0.25">
      <c r="A406" s="12" t="s">
        <v>22</v>
      </c>
      <c r="B406" s="35">
        <v>4</v>
      </c>
      <c r="C406" s="13" t="s">
        <v>57</v>
      </c>
      <c r="D406" s="13">
        <v>30.8</v>
      </c>
      <c r="E406" s="14">
        <f>SUM(D363:D406)</f>
        <v>1967.8999999999985</v>
      </c>
    </row>
    <row r="407" spans="1:5" x14ac:dyDescent="0.25">
      <c r="A407" s="15"/>
      <c r="B407" s="36"/>
      <c r="C407" s="16"/>
      <c r="D407" s="16"/>
    </row>
    <row r="408" spans="1:5" ht="18.75" customHeight="1" x14ac:dyDescent="0.25">
      <c r="A408" s="12" t="s">
        <v>20</v>
      </c>
      <c r="B408" s="32">
        <v>1</v>
      </c>
      <c r="C408" s="13" t="s">
        <v>47</v>
      </c>
      <c r="D408" s="13">
        <v>14.4</v>
      </c>
    </row>
    <row r="409" spans="1:5" ht="18.75" customHeight="1" x14ac:dyDescent="0.25">
      <c r="A409" s="12" t="s">
        <v>20</v>
      </c>
      <c r="B409" s="32">
        <v>1</v>
      </c>
      <c r="C409" s="13" t="s">
        <v>48</v>
      </c>
      <c r="D409" s="13">
        <v>14.4</v>
      </c>
    </row>
    <row r="410" spans="1:5" ht="18.75" customHeight="1" x14ac:dyDescent="0.25">
      <c r="A410" s="12" t="s">
        <v>20</v>
      </c>
      <c r="B410" s="32">
        <v>1</v>
      </c>
      <c r="C410" s="13" t="s">
        <v>49</v>
      </c>
      <c r="D410" s="13">
        <v>14.4</v>
      </c>
    </row>
    <row r="411" spans="1:5" ht="18.75" customHeight="1" x14ac:dyDescent="0.25">
      <c r="A411" s="12" t="s">
        <v>20</v>
      </c>
      <c r="B411" s="32">
        <v>1</v>
      </c>
      <c r="C411" s="13" t="s">
        <v>50</v>
      </c>
      <c r="D411" s="13">
        <v>14.4</v>
      </c>
    </row>
    <row r="412" spans="1:5" ht="18.75" customHeight="1" x14ac:dyDescent="0.25">
      <c r="A412" s="12" t="s">
        <v>20</v>
      </c>
      <c r="B412" s="32">
        <v>1</v>
      </c>
      <c r="C412" s="13" t="s">
        <v>51</v>
      </c>
      <c r="D412" s="13">
        <v>14.4</v>
      </c>
    </row>
    <row r="413" spans="1:5" ht="18.75" customHeight="1" x14ac:dyDescent="0.25">
      <c r="A413" s="12" t="s">
        <v>20</v>
      </c>
      <c r="B413" s="32">
        <v>1</v>
      </c>
      <c r="C413" s="13" t="s">
        <v>52</v>
      </c>
      <c r="D413" s="13">
        <v>14.4</v>
      </c>
    </row>
    <row r="414" spans="1:5" ht="18.75" customHeight="1" x14ac:dyDescent="0.25">
      <c r="A414" s="12" t="s">
        <v>20</v>
      </c>
      <c r="B414" s="32">
        <v>1</v>
      </c>
      <c r="C414" s="13" t="s">
        <v>53</v>
      </c>
      <c r="D414" s="13">
        <v>14.4</v>
      </c>
    </row>
    <row r="415" spans="1:5" ht="18.75" customHeight="1" x14ac:dyDescent="0.25">
      <c r="A415" s="12" t="s">
        <v>20</v>
      </c>
      <c r="B415" s="32">
        <v>1</v>
      </c>
      <c r="C415" s="13" t="s">
        <v>54</v>
      </c>
      <c r="D415" s="13">
        <v>14.4</v>
      </c>
    </row>
    <row r="416" spans="1:5" ht="18.75" customHeight="1" x14ac:dyDescent="0.25">
      <c r="A416" s="12" t="s">
        <v>20</v>
      </c>
      <c r="B416" s="32">
        <v>1</v>
      </c>
      <c r="C416" s="13" t="s">
        <v>55</v>
      </c>
      <c r="D416" s="13">
        <v>14.4</v>
      </c>
    </row>
    <row r="417" spans="1:4" ht="18.75" customHeight="1" x14ac:dyDescent="0.25">
      <c r="A417" s="12" t="s">
        <v>20</v>
      </c>
      <c r="B417" s="32">
        <v>1</v>
      </c>
      <c r="C417" s="13" t="s">
        <v>56</v>
      </c>
      <c r="D417" s="13">
        <v>14.4</v>
      </c>
    </row>
    <row r="418" spans="1:4" ht="18.75" customHeight="1" x14ac:dyDescent="0.25">
      <c r="A418" s="12" t="s">
        <v>20</v>
      </c>
      <c r="B418" s="32">
        <v>1</v>
      </c>
      <c r="C418" s="13" t="s">
        <v>57</v>
      </c>
      <c r="D418" s="13">
        <v>14.4</v>
      </c>
    </row>
    <row r="419" spans="1:4" ht="18.75" customHeight="1" x14ac:dyDescent="0.25">
      <c r="A419" s="12" t="s">
        <v>20</v>
      </c>
      <c r="B419" s="33">
        <v>2</v>
      </c>
      <c r="C419" s="13" t="s">
        <v>47</v>
      </c>
      <c r="D419" s="13">
        <v>14.4</v>
      </c>
    </row>
    <row r="420" spans="1:4" ht="18.75" customHeight="1" x14ac:dyDescent="0.25">
      <c r="A420" s="12" t="s">
        <v>20</v>
      </c>
      <c r="B420" s="33">
        <v>2</v>
      </c>
      <c r="C420" s="13" t="s">
        <v>48</v>
      </c>
      <c r="D420" s="13">
        <v>14.4</v>
      </c>
    </row>
    <row r="421" spans="1:4" ht="18.75" customHeight="1" x14ac:dyDescent="0.25">
      <c r="A421" s="12" t="s">
        <v>20</v>
      </c>
      <c r="B421" s="33">
        <v>2</v>
      </c>
      <c r="C421" s="13" t="s">
        <v>49</v>
      </c>
      <c r="D421" s="13">
        <v>14.4</v>
      </c>
    </row>
    <row r="422" spans="1:4" ht="18.75" customHeight="1" x14ac:dyDescent="0.25">
      <c r="A422" s="12" t="s">
        <v>20</v>
      </c>
      <c r="B422" s="33">
        <v>2</v>
      </c>
      <c r="C422" s="13" t="s">
        <v>50</v>
      </c>
      <c r="D422" s="13">
        <v>14.4</v>
      </c>
    </row>
    <row r="423" spans="1:4" ht="18.75" customHeight="1" x14ac:dyDescent="0.25">
      <c r="A423" s="12" t="s">
        <v>20</v>
      </c>
      <c r="B423" s="33">
        <v>2</v>
      </c>
      <c r="C423" s="13" t="s">
        <v>51</v>
      </c>
      <c r="D423" s="13">
        <v>14.4</v>
      </c>
    </row>
    <row r="424" spans="1:4" ht="18.75" customHeight="1" x14ac:dyDescent="0.25">
      <c r="A424" s="12" t="s">
        <v>20</v>
      </c>
      <c r="B424" s="33">
        <v>2</v>
      </c>
      <c r="C424" s="13" t="s">
        <v>52</v>
      </c>
      <c r="D424" s="13">
        <v>14.4</v>
      </c>
    </row>
    <row r="425" spans="1:4" ht="18.75" customHeight="1" x14ac:dyDescent="0.25">
      <c r="A425" s="12" t="s">
        <v>20</v>
      </c>
      <c r="B425" s="33">
        <v>2</v>
      </c>
      <c r="C425" s="13" t="s">
        <v>53</v>
      </c>
      <c r="D425" s="13">
        <v>14.4</v>
      </c>
    </row>
    <row r="426" spans="1:4" ht="18.75" customHeight="1" x14ac:dyDescent="0.25">
      <c r="A426" s="12" t="s">
        <v>20</v>
      </c>
      <c r="B426" s="33">
        <v>2</v>
      </c>
      <c r="C426" s="13" t="s">
        <v>54</v>
      </c>
      <c r="D426" s="13">
        <v>14.4</v>
      </c>
    </row>
    <row r="427" spans="1:4" ht="18.75" customHeight="1" x14ac:dyDescent="0.25">
      <c r="A427" s="12" t="s">
        <v>20</v>
      </c>
      <c r="B427" s="33">
        <v>2</v>
      </c>
      <c r="C427" s="13" t="s">
        <v>55</v>
      </c>
      <c r="D427" s="13">
        <v>14.4</v>
      </c>
    </row>
    <row r="428" spans="1:4" ht="18.75" customHeight="1" x14ac:dyDescent="0.25">
      <c r="A428" s="12" t="s">
        <v>20</v>
      </c>
      <c r="B428" s="33">
        <v>2</v>
      </c>
      <c r="C428" s="13" t="s">
        <v>56</v>
      </c>
      <c r="D428" s="13">
        <v>14.4</v>
      </c>
    </row>
    <row r="429" spans="1:4" ht="18.75" customHeight="1" x14ac:dyDescent="0.25">
      <c r="A429" s="12" t="s">
        <v>20</v>
      </c>
      <c r="B429" s="33">
        <v>2</v>
      </c>
      <c r="C429" s="13" t="s">
        <v>57</v>
      </c>
      <c r="D429" s="13">
        <v>14.4</v>
      </c>
    </row>
    <row r="430" spans="1:4" ht="18.75" customHeight="1" x14ac:dyDescent="0.25">
      <c r="A430" s="12" t="s">
        <v>20</v>
      </c>
      <c r="B430" s="34">
        <v>3</v>
      </c>
      <c r="C430" s="13" t="s">
        <v>47</v>
      </c>
      <c r="D430" s="13">
        <v>10.3</v>
      </c>
    </row>
    <row r="431" spans="1:4" ht="18.75" customHeight="1" x14ac:dyDescent="0.25">
      <c r="A431" s="12" t="s">
        <v>20</v>
      </c>
      <c r="B431" s="34">
        <v>3</v>
      </c>
      <c r="C431" s="13" t="s">
        <v>48</v>
      </c>
      <c r="D431" s="13">
        <v>10.3</v>
      </c>
    </row>
    <row r="432" spans="1:4" ht="18.75" customHeight="1" x14ac:dyDescent="0.25">
      <c r="A432" s="12" t="s">
        <v>20</v>
      </c>
      <c r="B432" s="34">
        <v>3</v>
      </c>
      <c r="C432" s="13" t="s">
        <v>49</v>
      </c>
      <c r="D432" s="13">
        <v>10.3</v>
      </c>
    </row>
    <row r="433" spans="1:4" ht="18.75" customHeight="1" x14ac:dyDescent="0.25">
      <c r="A433" s="12" t="s">
        <v>20</v>
      </c>
      <c r="B433" s="34">
        <v>3</v>
      </c>
      <c r="C433" s="13" t="s">
        <v>50</v>
      </c>
      <c r="D433" s="13">
        <v>10.3</v>
      </c>
    </row>
    <row r="434" spans="1:4" ht="18.75" customHeight="1" x14ac:dyDescent="0.25">
      <c r="A434" s="12" t="s">
        <v>20</v>
      </c>
      <c r="B434" s="34">
        <v>3</v>
      </c>
      <c r="C434" s="13" t="s">
        <v>51</v>
      </c>
      <c r="D434" s="13">
        <v>10.3</v>
      </c>
    </row>
    <row r="435" spans="1:4" ht="18.75" customHeight="1" x14ac:dyDescent="0.25">
      <c r="A435" s="12" t="s">
        <v>20</v>
      </c>
      <c r="B435" s="34">
        <v>3</v>
      </c>
      <c r="C435" s="13" t="s">
        <v>52</v>
      </c>
      <c r="D435" s="13">
        <v>10.3</v>
      </c>
    </row>
    <row r="436" spans="1:4" ht="18.75" customHeight="1" x14ac:dyDescent="0.25">
      <c r="A436" s="12" t="s">
        <v>20</v>
      </c>
      <c r="B436" s="34">
        <v>3</v>
      </c>
      <c r="C436" s="13" t="s">
        <v>53</v>
      </c>
      <c r="D436" s="13">
        <v>10.3</v>
      </c>
    </row>
    <row r="437" spans="1:4" ht="18.75" customHeight="1" x14ac:dyDescent="0.25">
      <c r="A437" s="12" t="s">
        <v>20</v>
      </c>
      <c r="B437" s="34">
        <v>3</v>
      </c>
      <c r="C437" s="13" t="s">
        <v>54</v>
      </c>
      <c r="D437" s="13">
        <v>10.3</v>
      </c>
    </row>
    <row r="438" spans="1:4" ht="18.75" customHeight="1" x14ac:dyDescent="0.25">
      <c r="A438" s="12" t="s">
        <v>20</v>
      </c>
      <c r="B438" s="34">
        <v>3</v>
      </c>
      <c r="C438" s="13" t="s">
        <v>55</v>
      </c>
      <c r="D438" s="13">
        <v>10.3</v>
      </c>
    </row>
    <row r="439" spans="1:4" ht="18.75" customHeight="1" x14ac:dyDescent="0.25">
      <c r="A439" s="12" t="s">
        <v>20</v>
      </c>
      <c r="B439" s="34">
        <v>3</v>
      </c>
      <c r="C439" s="13" t="s">
        <v>56</v>
      </c>
      <c r="D439" s="13">
        <v>10.3</v>
      </c>
    </row>
    <row r="440" spans="1:4" ht="18.75" customHeight="1" x14ac:dyDescent="0.25">
      <c r="A440" s="12" t="s">
        <v>20</v>
      </c>
      <c r="B440" s="34">
        <v>3</v>
      </c>
      <c r="C440" s="13" t="s">
        <v>57</v>
      </c>
      <c r="D440" s="13">
        <v>10.3</v>
      </c>
    </row>
    <row r="441" spans="1:4" ht="18.75" customHeight="1" x14ac:dyDescent="0.25">
      <c r="A441" s="12" t="s">
        <v>20</v>
      </c>
      <c r="B441" s="35">
        <v>4</v>
      </c>
      <c r="C441" s="13" t="s">
        <v>47</v>
      </c>
      <c r="D441" s="13">
        <v>8.1</v>
      </c>
    </row>
    <row r="442" spans="1:4" ht="18.75" customHeight="1" x14ac:dyDescent="0.25">
      <c r="A442" s="12" t="s">
        <v>20</v>
      </c>
      <c r="B442" s="35">
        <v>4</v>
      </c>
      <c r="C442" s="13" t="s">
        <v>48</v>
      </c>
      <c r="D442" s="13">
        <v>8.1</v>
      </c>
    </row>
    <row r="443" spans="1:4" ht="18.75" customHeight="1" x14ac:dyDescent="0.25">
      <c r="A443" s="12" t="s">
        <v>20</v>
      </c>
      <c r="B443" s="35">
        <v>4</v>
      </c>
      <c r="C443" s="13" t="s">
        <v>49</v>
      </c>
      <c r="D443" s="13">
        <v>8.1</v>
      </c>
    </row>
    <row r="444" spans="1:4" ht="18.75" customHeight="1" x14ac:dyDescent="0.25">
      <c r="A444" s="12" t="s">
        <v>20</v>
      </c>
      <c r="B444" s="35">
        <v>4</v>
      </c>
      <c r="C444" s="13" t="s">
        <v>50</v>
      </c>
      <c r="D444" s="13">
        <v>8.1</v>
      </c>
    </row>
    <row r="445" spans="1:4" ht="18.75" customHeight="1" x14ac:dyDescent="0.25">
      <c r="A445" s="12" t="s">
        <v>20</v>
      </c>
      <c r="B445" s="35">
        <v>4</v>
      </c>
      <c r="C445" s="13" t="s">
        <v>51</v>
      </c>
      <c r="D445" s="13">
        <v>8.1</v>
      </c>
    </row>
    <row r="446" spans="1:4" ht="18.75" customHeight="1" x14ac:dyDescent="0.25">
      <c r="A446" s="12" t="s">
        <v>20</v>
      </c>
      <c r="B446" s="35">
        <v>4</v>
      </c>
      <c r="C446" s="13" t="s">
        <v>52</v>
      </c>
      <c r="D446" s="13">
        <v>8.1</v>
      </c>
    </row>
    <row r="447" spans="1:4" ht="18.75" customHeight="1" x14ac:dyDescent="0.25">
      <c r="A447" s="12" t="s">
        <v>20</v>
      </c>
      <c r="B447" s="35">
        <v>4</v>
      </c>
      <c r="C447" s="13" t="s">
        <v>53</v>
      </c>
      <c r="D447" s="13">
        <v>8.1</v>
      </c>
    </row>
    <row r="448" spans="1:4" ht="18.75" customHeight="1" x14ac:dyDescent="0.25">
      <c r="A448" s="12" t="s">
        <v>20</v>
      </c>
      <c r="B448" s="35">
        <v>4</v>
      </c>
      <c r="C448" s="13" t="s">
        <v>54</v>
      </c>
      <c r="D448" s="13">
        <v>8.1</v>
      </c>
    </row>
    <row r="449" spans="1:16" ht="18.75" customHeight="1" x14ac:dyDescent="0.25">
      <c r="A449" s="12" t="s">
        <v>20</v>
      </c>
      <c r="B449" s="35">
        <v>4</v>
      </c>
      <c r="C449" s="13" t="s">
        <v>55</v>
      </c>
      <c r="D449" s="13">
        <v>8.1</v>
      </c>
    </row>
    <row r="450" spans="1:16" ht="18.75" customHeight="1" x14ac:dyDescent="0.25">
      <c r="A450" s="12" t="s">
        <v>20</v>
      </c>
      <c r="B450" s="35">
        <v>4</v>
      </c>
      <c r="C450" s="13" t="s">
        <v>56</v>
      </c>
      <c r="D450" s="13">
        <v>8.1</v>
      </c>
    </row>
    <row r="451" spans="1:16" ht="18.75" customHeight="1" x14ac:dyDescent="0.25">
      <c r="A451" s="12" t="s">
        <v>20</v>
      </c>
      <c r="B451" s="35">
        <v>4</v>
      </c>
      <c r="C451" s="13" t="s">
        <v>57</v>
      </c>
      <c r="D451" s="13">
        <v>8.1</v>
      </c>
      <c r="E451" s="14">
        <f>SUM(D408:D451)</f>
        <v>519.20000000000027</v>
      </c>
    </row>
    <row r="452" spans="1:16" x14ac:dyDescent="0.25">
      <c r="A452" s="15"/>
      <c r="B452" s="36"/>
      <c r="C452" s="16"/>
      <c r="D452" s="16"/>
    </row>
    <row r="453" spans="1:16" x14ac:dyDescent="0.25">
      <c r="A453" s="12" t="s">
        <v>74</v>
      </c>
      <c r="B453" s="32">
        <v>1</v>
      </c>
      <c r="C453" s="13" t="s">
        <v>47</v>
      </c>
      <c r="D453" s="13">
        <v>0</v>
      </c>
    </row>
    <row r="454" spans="1:16" x14ac:dyDescent="0.25">
      <c r="A454" s="12" t="s">
        <v>74</v>
      </c>
      <c r="B454" s="32">
        <v>1</v>
      </c>
      <c r="C454" s="13" t="s">
        <v>48</v>
      </c>
      <c r="D454" s="13">
        <v>0</v>
      </c>
    </row>
    <row r="455" spans="1:16" x14ac:dyDescent="0.25">
      <c r="A455" s="12" t="s">
        <v>74</v>
      </c>
      <c r="B455" s="32">
        <v>1</v>
      </c>
      <c r="C455" s="13" t="s">
        <v>49</v>
      </c>
      <c r="D455" s="13">
        <v>0</v>
      </c>
    </row>
    <row r="456" spans="1:16" x14ac:dyDescent="0.25">
      <c r="A456" s="12" t="s">
        <v>74</v>
      </c>
      <c r="B456" s="32">
        <v>1</v>
      </c>
      <c r="C456" s="13" t="s">
        <v>50</v>
      </c>
      <c r="D456" s="13">
        <v>0</v>
      </c>
      <c r="P456">
        <f>2749/2/12</f>
        <v>114.54166666666667</v>
      </c>
    </row>
    <row r="457" spans="1:16" x14ac:dyDescent="0.25">
      <c r="A457" s="12" t="s">
        <v>74</v>
      </c>
      <c r="B457" s="32">
        <v>1</v>
      </c>
      <c r="C457" s="13" t="s">
        <v>51</v>
      </c>
      <c r="D457" s="13">
        <v>0</v>
      </c>
    </row>
    <row r="458" spans="1:16" x14ac:dyDescent="0.25">
      <c r="A458" s="12" t="s">
        <v>74</v>
      </c>
      <c r="B458" s="32">
        <v>1</v>
      </c>
      <c r="C458" s="13" t="s">
        <v>52</v>
      </c>
      <c r="D458" s="13">
        <v>0</v>
      </c>
    </row>
    <row r="459" spans="1:16" x14ac:dyDescent="0.25">
      <c r="A459" s="12" t="s">
        <v>74</v>
      </c>
      <c r="B459" s="32">
        <v>1</v>
      </c>
      <c r="C459" s="13" t="s">
        <v>53</v>
      </c>
      <c r="D459" s="13">
        <v>126</v>
      </c>
    </row>
    <row r="460" spans="1:16" x14ac:dyDescent="0.25">
      <c r="A460" s="12" t="s">
        <v>74</v>
      </c>
      <c r="B460" s="32">
        <v>1</v>
      </c>
      <c r="C460" s="13" t="s">
        <v>54</v>
      </c>
      <c r="D460" s="13">
        <v>126</v>
      </c>
    </row>
    <row r="461" spans="1:16" x14ac:dyDescent="0.25">
      <c r="A461" s="12" t="s">
        <v>74</v>
      </c>
      <c r="B461" s="32">
        <v>1</v>
      </c>
      <c r="C461" s="13" t="s">
        <v>55</v>
      </c>
      <c r="D461" s="13">
        <v>126</v>
      </c>
    </row>
    <row r="462" spans="1:16" x14ac:dyDescent="0.25">
      <c r="A462" s="12" t="s">
        <v>74</v>
      </c>
      <c r="B462" s="32">
        <v>1</v>
      </c>
      <c r="C462" s="13" t="s">
        <v>56</v>
      </c>
      <c r="D462" s="13">
        <v>126</v>
      </c>
    </row>
    <row r="463" spans="1:16" x14ac:dyDescent="0.25">
      <c r="A463" s="12" t="s">
        <v>74</v>
      </c>
      <c r="B463" s="32">
        <v>1</v>
      </c>
      <c r="C463" s="13" t="s">
        <v>57</v>
      </c>
      <c r="D463" s="13">
        <v>126</v>
      </c>
    </row>
    <row r="464" spans="1:16" x14ac:dyDescent="0.25">
      <c r="A464" s="12" t="s">
        <v>74</v>
      </c>
      <c r="B464" s="33">
        <v>2</v>
      </c>
      <c r="C464" s="13" t="s">
        <v>47</v>
      </c>
      <c r="D464" s="13">
        <v>126</v>
      </c>
    </row>
    <row r="465" spans="1:4" x14ac:dyDescent="0.25">
      <c r="A465" s="12" t="s">
        <v>74</v>
      </c>
      <c r="B465" s="33">
        <v>2</v>
      </c>
      <c r="C465" s="13" t="s">
        <v>48</v>
      </c>
      <c r="D465" s="13">
        <v>126</v>
      </c>
    </row>
    <row r="466" spans="1:4" x14ac:dyDescent="0.25">
      <c r="A466" s="12" t="s">
        <v>74</v>
      </c>
      <c r="B466" s="33">
        <v>2</v>
      </c>
      <c r="C466" s="13" t="s">
        <v>49</v>
      </c>
      <c r="D466" s="13">
        <v>126</v>
      </c>
    </row>
    <row r="467" spans="1:4" x14ac:dyDescent="0.25">
      <c r="A467" s="12" t="s">
        <v>74</v>
      </c>
      <c r="B467" s="33">
        <v>2</v>
      </c>
      <c r="C467" s="13" t="s">
        <v>50</v>
      </c>
      <c r="D467" s="13">
        <v>126</v>
      </c>
    </row>
    <row r="468" spans="1:4" x14ac:dyDescent="0.25">
      <c r="A468" s="12" t="s">
        <v>74</v>
      </c>
      <c r="B468" s="33">
        <v>2</v>
      </c>
      <c r="C468" s="13" t="s">
        <v>51</v>
      </c>
      <c r="D468" s="13">
        <v>126</v>
      </c>
    </row>
    <row r="469" spans="1:4" x14ac:dyDescent="0.25">
      <c r="A469" s="12" t="s">
        <v>74</v>
      </c>
      <c r="B469" s="33">
        <v>2</v>
      </c>
      <c r="C469" s="13" t="s">
        <v>52</v>
      </c>
      <c r="D469" s="13">
        <v>126</v>
      </c>
    </row>
    <row r="470" spans="1:4" x14ac:dyDescent="0.25">
      <c r="A470" s="12" t="s">
        <v>74</v>
      </c>
      <c r="B470" s="33">
        <v>2</v>
      </c>
      <c r="C470" s="13" t="s">
        <v>53</v>
      </c>
      <c r="D470" s="13">
        <v>126</v>
      </c>
    </row>
    <row r="471" spans="1:4" x14ac:dyDescent="0.25">
      <c r="A471" s="12" t="s">
        <v>74</v>
      </c>
      <c r="B471" s="33">
        <v>2</v>
      </c>
      <c r="C471" s="13" t="s">
        <v>54</v>
      </c>
      <c r="D471" s="13">
        <v>126</v>
      </c>
    </row>
    <row r="472" spans="1:4" x14ac:dyDescent="0.25">
      <c r="A472" s="12" t="s">
        <v>74</v>
      </c>
      <c r="B472" s="33">
        <v>2</v>
      </c>
      <c r="C472" s="13" t="s">
        <v>55</v>
      </c>
      <c r="D472" s="13">
        <v>126</v>
      </c>
    </row>
    <row r="473" spans="1:4" x14ac:dyDescent="0.25">
      <c r="A473" s="12" t="s">
        <v>74</v>
      </c>
      <c r="B473" s="33">
        <v>2</v>
      </c>
      <c r="C473" s="13" t="s">
        <v>56</v>
      </c>
      <c r="D473" s="13">
        <v>126</v>
      </c>
    </row>
    <row r="474" spans="1:4" x14ac:dyDescent="0.25">
      <c r="A474" s="12" t="s">
        <v>74</v>
      </c>
      <c r="B474" s="33">
        <v>2</v>
      </c>
      <c r="C474" s="13" t="s">
        <v>57</v>
      </c>
      <c r="D474" s="13">
        <v>126</v>
      </c>
    </row>
    <row r="475" spans="1:4" x14ac:dyDescent="0.25">
      <c r="A475" s="12" t="s">
        <v>74</v>
      </c>
      <c r="B475" s="34">
        <v>3</v>
      </c>
      <c r="C475" s="13" t="s">
        <v>47</v>
      </c>
      <c r="D475" s="13">
        <v>100</v>
      </c>
    </row>
    <row r="476" spans="1:4" x14ac:dyDescent="0.25">
      <c r="A476" s="12" t="s">
        <v>74</v>
      </c>
      <c r="B476" s="34">
        <v>3</v>
      </c>
      <c r="C476" s="13" t="s">
        <v>48</v>
      </c>
      <c r="D476" s="13">
        <v>100</v>
      </c>
    </row>
    <row r="477" spans="1:4" x14ac:dyDescent="0.25">
      <c r="A477" s="12" t="s">
        <v>74</v>
      </c>
      <c r="B477" s="34">
        <v>3</v>
      </c>
      <c r="C477" s="13" t="s">
        <v>49</v>
      </c>
      <c r="D477" s="13">
        <v>100</v>
      </c>
    </row>
    <row r="478" spans="1:4" x14ac:dyDescent="0.25">
      <c r="A478" s="12" t="s">
        <v>74</v>
      </c>
      <c r="B478" s="34">
        <v>3</v>
      </c>
      <c r="C478" s="13" t="s">
        <v>50</v>
      </c>
      <c r="D478" s="13">
        <v>100</v>
      </c>
    </row>
    <row r="479" spans="1:4" x14ac:dyDescent="0.25">
      <c r="A479" s="12" t="s">
        <v>74</v>
      </c>
      <c r="B479" s="34">
        <v>3</v>
      </c>
      <c r="C479" s="13" t="s">
        <v>51</v>
      </c>
      <c r="D479" s="13">
        <v>100</v>
      </c>
    </row>
    <row r="480" spans="1:4" x14ac:dyDescent="0.25">
      <c r="A480" s="12" t="s">
        <v>74</v>
      </c>
      <c r="B480" s="34">
        <v>3</v>
      </c>
      <c r="C480" s="13" t="s">
        <v>52</v>
      </c>
      <c r="D480" s="13">
        <v>100</v>
      </c>
    </row>
    <row r="481" spans="1:5" x14ac:dyDescent="0.25">
      <c r="A481" s="12" t="s">
        <v>74</v>
      </c>
      <c r="B481" s="34">
        <v>3</v>
      </c>
      <c r="C481" s="13" t="s">
        <v>53</v>
      </c>
      <c r="D481" s="13">
        <v>100</v>
      </c>
    </row>
    <row r="482" spans="1:5" x14ac:dyDescent="0.25">
      <c r="A482" s="12" t="s">
        <v>74</v>
      </c>
      <c r="B482" s="34">
        <v>3</v>
      </c>
      <c r="C482" s="13" t="s">
        <v>54</v>
      </c>
      <c r="D482" s="13">
        <v>100</v>
      </c>
    </row>
    <row r="483" spans="1:5" x14ac:dyDescent="0.25">
      <c r="A483" s="12" t="s">
        <v>74</v>
      </c>
      <c r="B483" s="34">
        <v>3</v>
      </c>
      <c r="C483" s="13" t="s">
        <v>55</v>
      </c>
      <c r="D483" s="13">
        <v>100</v>
      </c>
    </row>
    <row r="484" spans="1:5" x14ac:dyDescent="0.25">
      <c r="A484" s="12" t="s">
        <v>74</v>
      </c>
      <c r="B484" s="34">
        <v>3</v>
      </c>
      <c r="C484" s="13" t="s">
        <v>56</v>
      </c>
      <c r="D484" s="13">
        <v>100</v>
      </c>
    </row>
    <row r="485" spans="1:5" x14ac:dyDescent="0.25">
      <c r="A485" s="12" t="s">
        <v>74</v>
      </c>
      <c r="B485" s="34">
        <v>3</v>
      </c>
      <c r="C485" s="13" t="s">
        <v>57</v>
      </c>
      <c r="D485" s="13">
        <v>100</v>
      </c>
    </row>
    <row r="486" spans="1:5" x14ac:dyDescent="0.25">
      <c r="A486" s="12" t="s">
        <v>74</v>
      </c>
      <c r="B486" s="35">
        <v>4</v>
      </c>
      <c r="C486" s="13" t="s">
        <v>47</v>
      </c>
      <c r="D486" s="13">
        <v>100</v>
      </c>
    </row>
    <row r="487" spans="1:5" x14ac:dyDescent="0.25">
      <c r="A487" s="12" t="s">
        <v>74</v>
      </c>
      <c r="B487" s="35">
        <v>4</v>
      </c>
      <c r="C487" s="13" t="s">
        <v>48</v>
      </c>
      <c r="D487" s="13">
        <v>100</v>
      </c>
    </row>
    <row r="488" spans="1:5" x14ac:dyDescent="0.25">
      <c r="A488" s="12" t="s">
        <v>74</v>
      </c>
      <c r="B488" s="35">
        <v>4</v>
      </c>
      <c r="C488" s="13" t="s">
        <v>49</v>
      </c>
      <c r="D488" s="13">
        <v>100</v>
      </c>
    </row>
    <row r="489" spans="1:5" x14ac:dyDescent="0.25">
      <c r="A489" s="12" t="s">
        <v>74</v>
      </c>
      <c r="B489" s="35">
        <v>4</v>
      </c>
      <c r="C489" s="13" t="s">
        <v>50</v>
      </c>
      <c r="D489" s="13">
        <v>100</v>
      </c>
    </row>
    <row r="490" spans="1:5" x14ac:dyDescent="0.25">
      <c r="A490" s="12" t="s">
        <v>74</v>
      </c>
      <c r="B490" s="35">
        <v>4</v>
      </c>
      <c r="C490" s="13" t="s">
        <v>51</v>
      </c>
      <c r="D490" s="13">
        <v>100</v>
      </c>
    </row>
    <row r="491" spans="1:5" x14ac:dyDescent="0.25">
      <c r="A491" s="12" t="s">
        <v>74</v>
      </c>
      <c r="B491" s="35">
        <v>4</v>
      </c>
      <c r="C491" s="13" t="s">
        <v>52</v>
      </c>
      <c r="D491" s="13">
        <v>100</v>
      </c>
    </row>
    <row r="492" spans="1:5" x14ac:dyDescent="0.25">
      <c r="A492" s="12" t="s">
        <v>74</v>
      </c>
      <c r="B492" s="35">
        <v>4</v>
      </c>
      <c r="C492" s="13" t="s">
        <v>53</v>
      </c>
      <c r="D492" s="13">
        <v>100</v>
      </c>
    </row>
    <row r="493" spans="1:5" x14ac:dyDescent="0.25">
      <c r="A493" s="12" t="s">
        <v>74</v>
      </c>
      <c r="B493" s="35">
        <v>4</v>
      </c>
      <c r="C493" s="13" t="s">
        <v>54</v>
      </c>
      <c r="D493" s="13"/>
    </row>
    <row r="494" spans="1:5" x14ac:dyDescent="0.25">
      <c r="A494" s="12" t="s">
        <v>74</v>
      </c>
      <c r="B494" s="35">
        <v>4</v>
      </c>
      <c r="C494" s="13" t="s">
        <v>55</v>
      </c>
      <c r="D494" s="13"/>
    </row>
    <row r="495" spans="1:5" x14ac:dyDescent="0.25">
      <c r="A495" s="12" t="s">
        <v>74</v>
      </c>
      <c r="B495" s="35">
        <v>4</v>
      </c>
      <c r="C495" s="13" t="s">
        <v>56</v>
      </c>
      <c r="D495" s="13"/>
    </row>
    <row r="496" spans="1:5" x14ac:dyDescent="0.25">
      <c r="A496" s="12" t="s">
        <v>74</v>
      </c>
      <c r="B496" s="35">
        <v>4</v>
      </c>
      <c r="C496" s="13" t="s">
        <v>57</v>
      </c>
      <c r="D496" s="13"/>
      <c r="E496" s="14">
        <f>SUM(D453:D496)</f>
        <v>3816</v>
      </c>
    </row>
    <row r="498" spans="1:4" x14ac:dyDescent="0.25">
      <c r="A498" s="12" t="s">
        <v>75</v>
      </c>
      <c r="B498" s="32">
        <v>1</v>
      </c>
      <c r="C498" s="13" t="s">
        <v>47</v>
      </c>
      <c r="D498" s="13">
        <v>0</v>
      </c>
    </row>
    <row r="499" spans="1:4" x14ac:dyDescent="0.25">
      <c r="A499" s="12" t="s">
        <v>75</v>
      </c>
      <c r="B499" s="32">
        <v>1</v>
      </c>
      <c r="C499" s="13" t="s">
        <v>48</v>
      </c>
      <c r="D499" s="13">
        <v>0</v>
      </c>
    </row>
    <row r="500" spans="1:4" x14ac:dyDescent="0.25">
      <c r="A500" s="12" t="s">
        <v>75</v>
      </c>
      <c r="B500" s="32">
        <v>1</v>
      </c>
      <c r="C500" s="13" t="s">
        <v>49</v>
      </c>
      <c r="D500" s="13">
        <v>0</v>
      </c>
    </row>
    <row r="501" spans="1:4" x14ac:dyDescent="0.25">
      <c r="A501" s="12" t="s">
        <v>75</v>
      </c>
      <c r="B501" s="32">
        <v>1</v>
      </c>
      <c r="C501" s="13" t="s">
        <v>50</v>
      </c>
      <c r="D501" s="13">
        <v>0</v>
      </c>
    </row>
    <row r="502" spans="1:4" x14ac:dyDescent="0.25">
      <c r="A502" s="12" t="s">
        <v>75</v>
      </c>
      <c r="B502" s="32">
        <v>1</v>
      </c>
      <c r="C502" s="13" t="s">
        <v>51</v>
      </c>
      <c r="D502" s="13">
        <v>0</v>
      </c>
    </row>
    <row r="503" spans="1:4" x14ac:dyDescent="0.25">
      <c r="A503" s="12" t="s">
        <v>75</v>
      </c>
      <c r="B503" s="32">
        <v>1</v>
      </c>
      <c r="C503" s="13" t="s">
        <v>52</v>
      </c>
      <c r="D503" s="13">
        <v>0</v>
      </c>
    </row>
    <row r="504" spans="1:4" x14ac:dyDescent="0.25">
      <c r="A504" s="12" t="s">
        <v>75</v>
      </c>
      <c r="B504" s="32">
        <v>1</v>
      </c>
      <c r="C504" s="13" t="s">
        <v>53</v>
      </c>
      <c r="D504" s="13">
        <v>0</v>
      </c>
    </row>
    <row r="505" spans="1:4" x14ac:dyDescent="0.25">
      <c r="A505" s="12" t="s">
        <v>75</v>
      </c>
      <c r="B505" s="32">
        <v>1</v>
      </c>
      <c r="C505" s="13" t="s">
        <v>54</v>
      </c>
      <c r="D505" s="13">
        <v>0</v>
      </c>
    </row>
    <row r="506" spans="1:4" x14ac:dyDescent="0.25">
      <c r="A506" s="12" t="s">
        <v>75</v>
      </c>
      <c r="B506" s="32">
        <v>1</v>
      </c>
      <c r="C506" s="13" t="s">
        <v>55</v>
      </c>
      <c r="D506" s="13">
        <v>0</v>
      </c>
    </row>
    <row r="507" spans="1:4" x14ac:dyDescent="0.25">
      <c r="A507" s="12" t="s">
        <v>75</v>
      </c>
      <c r="B507" s="32">
        <v>1</v>
      </c>
      <c r="C507" s="13" t="s">
        <v>56</v>
      </c>
      <c r="D507" s="13">
        <v>0</v>
      </c>
    </row>
    <row r="508" spans="1:4" x14ac:dyDescent="0.25">
      <c r="A508" s="12" t="s">
        <v>75</v>
      </c>
      <c r="B508" s="32">
        <v>1</v>
      </c>
      <c r="C508" s="13" t="s">
        <v>57</v>
      </c>
      <c r="D508" s="13">
        <v>0</v>
      </c>
    </row>
    <row r="509" spans="1:4" x14ac:dyDescent="0.25">
      <c r="A509" s="12" t="s">
        <v>75</v>
      </c>
      <c r="B509" s="33">
        <v>2</v>
      </c>
      <c r="C509" s="13" t="s">
        <v>47</v>
      </c>
      <c r="D509" s="13">
        <v>0</v>
      </c>
    </row>
    <row r="510" spans="1:4" x14ac:dyDescent="0.25">
      <c r="A510" s="12" t="s">
        <v>75</v>
      </c>
      <c r="B510" s="33">
        <v>2</v>
      </c>
      <c r="C510" s="13" t="s">
        <v>48</v>
      </c>
      <c r="D510" s="13">
        <v>0</v>
      </c>
    </row>
    <row r="511" spans="1:4" x14ac:dyDescent="0.25">
      <c r="A511" s="12" t="s">
        <v>75</v>
      </c>
      <c r="B511" s="33">
        <v>2</v>
      </c>
      <c r="C511" s="13" t="s">
        <v>49</v>
      </c>
      <c r="D511" s="13">
        <v>0</v>
      </c>
    </row>
    <row r="512" spans="1:4" x14ac:dyDescent="0.25">
      <c r="A512" s="12" t="s">
        <v>75</v>
      </c>
      <c r="B512" s="33">
        <v>2</v>
      </c>
      <c r="C512" s="13" t="s">
        <v>50</v>
      </c>
      <c r="D512" s="13">
        <v>0</v>
      </c>
    </row>
    <row r="513" spans="1:4" x14ac:dyDescent="0.25">
      <c r="A513" s="12" t="s">
        <v>75</v>
      </c>
      <c r="B513" s="33">
        <v>2</v>
      </c>
      <c r="C513" s="13" t="s">
        <v>51</v>
      </c>
      <c r="D513" s="13">
        <v>80</v>
      </c>
    </row>
    <row r="514" spans="1:4" x14ac:dyDescent="0.25">
      <c r="A514" s="12" t="s">
        <v>75</v>
      </c>
      <c r="B514" s="33">
        <v>2</v>
      </c>
      <c r="C514" s="13" t="s">
        <v>52</v>
      </c>
      <c r="D514" s="13">
        <v>80</v>
      </c>
    </row>
    <row r="515" spans="1:4" x14ac:dyDescent="0.25">
      <c r="A515" s="12" t="s">
        <v>75</v>
      </c>
      <c r="B515" s="33">
        <v>2</v>
      </c>
      <c r="C515" s="13" t="s">
        <v>53</v>
      </c>
      <c r="D515" s="13">
        <v>80</v>
      </c>
    </row>
    <row r="516" spans="1:4" x14ac:dyDescent="0.25">
      <c r="A516" s="12" t="s">
        <v>75</v>
      </c>
      <c r="B516" s="33">
        <v>2</v>
      </c>
      <c r="C516" s="13" t="s">
        <v>54</v>
      </c>
      <c r="D516" s="13">
        <v>80</v>
      </c>
    </row>
    <row r="517" spans="1:4" x14ac:dyDescent="0.25">
      <c r="A517" s="12" t="s">
        <v>75</v>
      </c>
      <c r="B517" s="33">
        <v>2</v>
      </c>
      <c r="C517" s="13" t="s">
        <v>55</v>
      </c>
      <c r="D517" s="13">
        <v>80</v>
      </c>
    </row>
    <row r="518" spans="1:4" x14ac:dyDescent="0.25">
      <c r="A518" s="12" t="s">
        <v>75</v>
      </c>
      <c r="B518" s="33">
        <v>2</v>
      </c>
      <c r="C518" s="13" t="s">
        <v>56</v>
      </c>
      <c r="D518" s="13">
        <v>80</v>
      </c>
    </row>
    <row r="519" spans="1:4" x14ac:dyDescent="0.25">
      <c r="A519" s="12" t="s">
        <v>75</v>
      </c>
      <c r="B519" s="33">
        <v>2</v>
      </c>
      <c r="C519" s="13" t="s">
        <v>57</v>
      </c>
      <c r="D519" s="13">
        <v>80</v>
      </c>
    </row>
    <row r="520" spans="1:4" x14ac:dyDescent="0.25">
      <c r="A520" s="12" t="s">
        <v>75</v>
      </c>
      <c r="B520" s="34">
        <v>3</v>
      </c>
      <c r="C520" s="13" t="s">
        <v>47</v>
      </c>
      <c r="D520" s="13">
        <v>63</v>
      </c>
    </row>
    <row r="521" spans="1:4" x14ac:dyDescent="0.25">
      <c r="A521" s="12" t="s">
        <v>75</v>
      </c>
      <c r="B521" s="34">
        <v>3</v>
      </c>
      <c r="C521" s="13" t="s">
        <v>48</v>
      </c>
      <c r="D521" s="13">
        <v>63</v>
      </c>
    </row>
    <row r="522" spans="1:4" x14ac:dyDescent="0.25">
      <c r="A522" s="12" t="s">
        <v>75</v>
      </c>
      <c r="B522" s="34">
        <v>3</v>
      </c>
      <c r="C522" s="13" t="s">
        <v>49</v>
      </c>
      <c r="D522" s="13">
        <v>63</v>
      </c>
    </row>
    <row r="523" spans="1:4" x14ac:dyDescent="0.25">
      <c r="A523" s="12" t="s">
        <v>75</v>
      </c>
      <c r="B523" s="34">
        <v>3</v>
      </c>
      <c r="C523" s="13" t="s">
        <v>50</v>
      </c>
      <c r="D523" s="13">
        <v>63</v>
      </c>
    </row>
    <row r="524" spans="1:4" x14ac:dyDescent="0.25">
      <c r="A524" s="12" t="s">
        <v>75</v>
      </c>
      <c r="B524" s="34">
        <v>3</v>
      </c>
      <c r="C524" s="13" t="s">
        <v>51</v>
      </c>
      <c r="D524" s="13">
        <v>63</v>
      </c>
    </row>
    <row r="525" spans="1:4" x14ac:dyDescent="0.25">
      <c r="A525" s="12" t="s">
        <v>75</v>
      </c>
      <c r="B525" s="34">
        <v>3</v>
      </c>
      <c r="C525" s="13" t="s">
        <v>52</v>
      </c>
      <c r="D525" s="13">
        <v>63</v>
      </c>
    </row>
    <row r="526" spans="1:4" x14ac:dyDescent="0.25">
      <c r="A526" s="12" t="s">
        <v>75</v>
      </c>
      <c r="B526" s="34">
        <v>3</v>
      </c>
      <c r="C526" s="13" t="s">
        <v>53</v>
      </c>
      <c r="D526" s="13">
        <v>63</v>
      </c>
    </row>
    <row r="527" spans="1:4" x14ac:dyDescent="0.25">
      <c r="A527" s="12" t="s">
        <v>75</v>
      </c>
      <c r="B527" s="34">
        <v>3</v>
      </c>
      <c r="C527" s="13" t="s">
        <v>54</v>
      </c>
      <c r="D527" s="13">
        <v>63</v>
      </c>
    </row>
    <row r="528" spans="1:4" x14ac:dyDescent="0.25">
      <c r="A528" s="12" t="s">
        <v>75</v>
      </c>
      <c r="B528" s="34">
        <v>3</v>
      </c>
      <c r="C528" s="13" t="s">
        <v>55</v>
      </c>
      <c r="D528" s="13">
        <v>63</v>
      </c>
    </row>
    <row r="529" spans="1:5" x14ac:dyDescent="0.25">
      <c r="A529" s="12" t="s">
        <v>75</v>
      </c>
      <c r="B529" s="34">
        <v>3</v>
      </c>
      <c r="C529" s="13" t="s">
        <v>56</v>
      </c>
      <c r="D529" s="13">
        <v>63</v>
      </c>
    </row>
    <row r="530" spans="1:5" x14ac:dyDescent="0.25">
      <c r="A530" s="12" t="s">
        <v>75</v>
      </c>
      <c r="B530" s="34">
        <v>3</v>
      </c>
      <c r="C530" s="13" t="s">
        <v>57</v>
      </c>
      <c r="D530" s="13">
        <v>63</v>
      </c>
    </row>
    <row r="531" spans="1:5" x14ac:dyDescent="0.25">
      <c r="A531" s="12" t="s">
        <v>75</v>
      </c>
      <c r="B531" s="35">
        <v>4</v>
      </c>
      <c r="C531" s="13" t="s">
        <v>47</v>
      </c>
      <c r="D531" s="13">
        <v>90</v>
      </c>
    </row>
    <row r="532" spans="1:5" x14ac:dyDescent="0.25">
      <c r="A532" s="12" t="s">
        <v>75</v>
      </c>
      <c r="B532" s="35">
        <v>4</v>
      </c>
      <c r="C532" s="13" t="s">
        <v>48</v>
      </c>
      <c r="D532" s="13">
        <v>90</v>
      </c>
    </row>
    <row r="533" spans="1:5" x14ac:dyDescent="0.25">
      <c r="A533" s="12" t="s">
        <v>75</v>
      </c>
      <c r="B533" s="35">
        <v>4</v>
      </c>
      <c r="C533" s="13" t="s">
        <v>49</v>
      </c>
      <c r="D533" s="13">
        <v>90</v>
      </c>
    </row>
    <row r="534" spans="1:5" x14ac:dyDescent="0.25">
      <c r="A534" s="12" t="s">
        <v>75</v>
      </c>
      <c r="B534" s="35">
        <v>4</v>
      </c>
      <c r="C534" s="13" t="s">
        <v>50</v>
      </c>
      <c r="D534" s="13">
        <v>90</v>
      </c>
    </row>
    <row r="535" spans="1:5" x14ac:dyDescent="0.25">
      <c r="A535" s="12" t="s">
        <v>75</v>
      </c>
      <c r="B535" s="35">
        <v>4</v>
      </c>
      <c r="C535" s="13" t="s">
        <v>51</v>
      </c>
      <c r="D535" s="13">
        <v>90</v>
      </c>
    </row>
    <row r="536" spans="1:5" x14ac:dyDescent="0.25">
      <c r="A536" s="12" t="s">
        <v>75</v>
      </c>
      <c r="B536" s="35">
        <v>4</v>
      </c>
      <c r="C536" s="13" t="s">
        <v>52</v>
      </c>
      <c r="D536" s="13">
        <v>90</v>
      </c>
    </row>
    <row r="537" spans="1:5" x14ac:dyDescent="0.25">
      <c r="A537" s="12" t="s">
        <v>75</v>
      </c>
      <c r="B537" s="35">
        <v>4</v>
      </c>
      <c r="C537" s="13" t="s">
        <v>53</v>
      </c>
      <c r="D537" s="13">
        <v>90</v>
      </c>
    </row>
    <row r="538" spans="1:5" x14ac:dyDescent="0.25">
      <c r="A538" s="12" t="s">
        <v>75</v>
      </c>
      <c r="B538" s="35">
        <v>4</v>
      </c>
      <c r="C538" s="13" t="s">
        <v>54</v>
      </c>
      <c r="D538" s="13">
        <v>90</v>
      </c>
    </row>
    <row r="539" spans="1:5" x14ac:dyDescent="0.25">
      <c r="A539" s="12" t="s">
        <v>75</v>
      </c>
      <c r="B539" s="35">
        <v>4</v>
      </c>
      <c r="C539" s="13" t="s">
        <v>55</v>
      </c>
      <c r="D539" s="13">
        <v>90</v>
      </c>
    </row>
    <row r="540" spans="1:5" x14ac:dyDescent="0.25">
      <c r="A540" s="12" t="s">
        <v>75</v>
      </c>
      <c r="B540" s="35">
        <v>4</v>
      </c>
      <c r="C540" s="13" t="s">
        <v>56</v>
      </c>
      <c r="D540" s="13">
        <v>90</v>
      </c>
    </row>
    <row r="541" spans="1:5" x14ac:dyDescent="0.25">
      <c r="A541" s="12" t="s">
        <v>75</v>
      </c>
      <c r="B541" s="35">
        <v>4</v>
      </c>
      <c r="C541" s="13" t="s">
        <v>57</v>
      </c>
      <c r="D541" s="13">
        <v>90</v>
      </c>
      <c r="E541" s="14">
        <f>SUM(D498:D541)</f>
        <v>2243</v>
      </c>
    </row>
    <row r="542" spans="1:5" x14ac:dyDescent="0.25">
      <c r="A542" s="12"/>
      <c r="B542" s="35"/>
      <c r="C542" s="13"/>
      <c r="D542" s="13"/>
      <c r="E542" s="14"/>
    </row>
    <row r="543" spans="1:5" x14ac:dyDescent="0.25">
      <c r="A543" s="12" t="s">
        <v>72</v>
      </c>
      <c r="B543" s="32">
        <v>1</v>
      </c>
      <c r="C543" s="13" t="s">
        <v>47</v>
      </c>
      <c r="D543" s="13">
        <v>0</v>
      </c>
    </row>
    <row r="544" spans="1:5" x14ac:dyDescent="0.25">
      <c r="A544" s="12" t="s">
        <v>72</v>
      </c>
      <c r="B544" s="32">
        <v>1</v>
      </c>
      <c r="C544" s="13" t="s">
        <v>48</v>
      </c>
      <c r="D544" s="13">
        <v>0</v>
      </c>
    </row>
    <row r="545" spans="1:4" x14ac:dyDescent="0.25">
      <c r="A545" s="12" t="s">
        <v>72</v>
      </c>
      <c r="B545" s="32">
        <v>1</v>
      </c>
      <c r="C545" s="13" t="s">
        <v>49</v>
      </c>
      <c r="D545" s="13">
        <v>0</v>
      </c>
    </row>
    <row r="546" spans="1:4" x14ac:dyDescent="0.25">
      <c r="A546" s="12" t="s">
        <v>72</v>
      </c>
      <c r="B546" s="32">
        <v>1</v>
      </c>
      <c r="C546" s="13" t="s">
        <v>50</v>
      </c>
      <c r="D546" s="13">
        <v>0</v>
      </c>
    </row>
    <row r="547" spans="1:4" x14ac:dyDescent="0.25">
      <c r="A547" s="12" t="s">
        <v>72</v>
      </c>
      <c r="B547" s="32">
        <v>1</v>
      </c>
      <c r="C547" s="13" t="s">
        <v>51</v>
      </c>
      <c r="D547" s="13">
        <v>0</v>
      </c>
    </row>
    <row r="548" spans="1:4" x14ac:dyDescent="0.25">
      <c r="A548" s="12" t="s">
        <v>72</v>
      </c>
      <c r="B548" s="32">
        <v>1</v>
      </c>
      <c r="C548" s="13" t="s">
        <v>52</v>
      </c>
      <c r="D548" s="13">
        <v>0</v>
      </c>
    </row>
    <row r="549" spans="1:4" x14ac:dyDescent="0.25">
      <c r="A549" s="12" t="s">
        <v>72</v>
      </c>
      <c r="B549" s="32">
        <v>1</v>
      </c>
      <c r="C549" s="13" t="s">
        <v>53</v>
      </c>
      <c r="D549" s="13">
        <v>0</v>
      </c>
    </row>
    <row r="550" spans="1:4" x14ac:dyDescent="0.25">
      <c r="A550" s="12" t="s">
        <v>72</v>
      </c>
      <c r="B550" s="32">
        <v>1</v>
      </c>
      <c r="C550" s="13" t="s">
        <v>54</v>
      </c>
      <c r="D550" s="13">
        <v>126</v>
      </c>
    </row>
    <row r="551" spans="1:4" x14ac:dyDescent="0.25">
      <c r="A551" s="12" t="s">
        <v>72</v>
      </c>
      <c r="B551" s="32">
        <v>1</v>
      </c>
      <c r="C551" s="13" t="s">
        <v>55</v>
      </c>
      <c r="D551" s="13">
        <v>126</v>
      </c>
    </row>
    <row r="552" spans="1:4" x14ac:dyDescent="0.25">
      <c r="A552" s="12" t="s">
        <v>72</v>
      </c>
      <c r="B552" s="32">
        <v>1</v>
      </c>
      <c r="C552" s="13" t="s">
        <v>56</v>
      </c>
      <c r="D552" s="13">
        <v>126</v>
      </c>
    </row>
    <row r="553" spans="1:4" x14ac:dyDescent="0.25">
      <c r="A553" s="12" t="s">
        <v>72</v>
      </c>
      <c r="B553" s="32">
        <v>1</v>
      </c>
      <c r="C553" s="13" t="s">
        <v>57</v>
      </c>
      <c r="D553" s="13">
        <v>126</v>
      </c>
    </row>
    <row r="554" spans="1:4" x14ac:dyDescent="0.25">
      <c r="A554" s="12" t="s">
        <v>72</v>
      </c>
      <c r="B554" s="33">
        <v>2</v>
      </c>
      <c r="C554" s="13" t="s">
        <v>47</v>
      </c>
      <c r="D554" s="13">
        <v>126</v>
      </c>
    </row>
    <row r="555" spans="1:4" x14ac:dyDescent="0.25">
      <c r="A555" s="12" t="s">
        <v>72</v>
      </c>
      <c r="B555" s="33">
        <v>2</v>
      </c>
      <c r="C555" s="13" t="s">
        <v>48</v>
      </c>
      <c r="D555" s="13">
        <v>126</v>
      </c>
    </row>
    <row r="556" spans="1:4" x14ac:dyDescent="0.25">
      <c r="A556" s="12" t="s">
        <v>72</v>
      </c>
      <c r="B556" s="33">
        <v>2</v>
      </c>
      <c r="C556" s="13" t="s">
        <v>49</v>
      </c>
      <c r="D556" s="13">
        <v>126</v>
      </c>
    </row>
    <row r="557" spans="1:4" x14ac:dyDescent="0.25">
      <c r="A557" s="12" t="s">
        <v>72</v>
      </c>
      <c r="B557" s="33">
        <v>2</v>
      </c>
      <c r="C557" s="13" t="s">
        <v>50</v>
      </c>
      <c r="D557" s="13">
        <v>126</v>
      </c>
    </row>
    <row r="558" spans="1:4" x14ac:dyDescent="0.25">
      <c r="A558" s="12" t="s">
        <v>72</v>
      </c>
      <c r="B558" s="33">
        <v>2</v>
      </c>
      <c r="C558" s="13" t="s">
        <v>51</v>
      </c>
      <c r="D558" s="13">
        <v>126</v>
      </c>
    </row>
    <row r="559" spans="1:4" x14ac:dyDescent="0.25">
      <c r="A559" s="12" t="s">
        <v>72</v>
      </c>
      <c r="B559" s="33">
        <v>2</v>
      </c>
      <c r="C559" s="13" t="s">
        <v>52</v>
      </c>
      <c r="D559" s="13">
        <v>126</v>
      </c>
    </row>
    <row r="560" spans="1:4" x14ac:dyDescent="0.25">
      <c r="A560" s="12" t="s">
        <v>72</v>
      </c>
      <c r="B560" s="33">
        <v>2</v>
      </c>
      <c r="C560" s="13" t="s">
        <v>53</v>
      </c>
      <c r="D560" s="13">
        <v>126</v>
      </c>
    </row>
    <row r="561" spans="1:4" x14ac:dyDescent="0.25">
      <c r="A561" s="12" t="s">
        <v>72</v>
      </c>
      <c r="B561" s="33">
        <v>2</v>
      </c>
      <c r="C561" s="13" t="s">
        <v>54</v>
      </c>
      <c r="D561" s="13">
        <v>126</v>
      </c>
    </row>
    <row r="562" spans="1:4" x14ac:dyDescent="0.25">
      <c r="A562" s="12" t="s">
        <v>72</v>
      </c>
      <c r="B562" s="33">
        <v>2</v>
      </c>
      <c r="C562" s="13" t="s">
        <v>55</v>
      </c>
      <c r="D562" s="13">
        <v>126</v>
      </c>
    </row>
    <row r="563" spans="1:4" x14ac:dyDescent="0.25">
      <c r="A563" s="12" t="s">
        <v>72</v>
      </c>
      <c r="B563" s="33">
        <v>2</v>
      </c>
      <c r="C563" s="13" t="s">
        <v>56</v>
      </c>
      <c r="D563" s="13">
        <v>126</v>
      </c>
    </row>
    <row r="564" spans="1:4" x14ac:dyDescent="0.25">
      <c r="A564" s="12" t="s">
        <v>72</v>
      </c>
      <c r="B564" s="33">
        <v>2</v>
      </c>
      <c r="C564" s="13" t="s">
        <v>57</v>
      </c>
      <c r="D564" s="13">
        <v>126</v>
      </c>
    </row>
    <row r="565" spans="1:4" x14ac:dyDescent="0.25">
      <c r="A565" s="12" t="s">
        <v>72</v>
      </c>
      <c r="B565" s="34">
        <v>3</v>
      </c>
      <c r="C565" s="13" t="s">
        <v>47</v>
      </c>
      <c r="D565" s="13">
        <v>63</v>
      </c>
    </row>
    <row r="566" spans="1:4" x14ac:dyDescent="0.25">
      <c r="A566" s="12" t="s">
        <v>72</v>
      </c>
      <c r="B566" s="34">
        <v>3</v>
      </c>
      <c r="C566" s="13" t="s">
        <v>48</v>
      </c>
      <c r="D566" s="13">
        <v>63</v>
      </c>
    </row>
    <row r="567" spans="1:4" x14ac:dyDescent="0.25">
      <c r="A567" s="12" t="s">
        <v>72</v>
      </c>
      <c r="B567" s="34">
        <v>3</v>
      </c>
      <c r="C567" s="13" t="s">
        <v>49</v>
      </c>
      <c r="D567" s="13">
        <v>63</v>
      </c>
    </row>
    <row r="568" spans="1:4" x14ac:dyDescent="0.25">
      <c r="A568" s="12" t="s">
        <v>72</v>
      </c>
      <c r="B568" s="34">
        <v>3</v>
      </c>
      <c r="C568" s="13" t="s">
        <v>50</v>
      </c>
      <c r="D568" s="13">
        <v>63</v>
      </c>
    </row>
    <row r="569" spans="1:4" x14ac:dyDescent="0.25">
      <c r="A569" s="12" t="s">
        <v>72</v>
      </c>
      <c r="B569" s="34">
        <v>3</v>
      </c>
      <c r="C569" s="13" t="s">
        <v>51</v>
      </c>
      <c r="D569" s="13">
        <v>63</v>
      </c>
    </row>
    <row r="570" spans="1:4" x14ac:dyDescent="0.25">
      <c r="A570" s="12" t="s">
        <v>72</v>
      </c>
      <c r="B570" s="34">
        <v>3</v>
      </c>
      <c r="C570" s="13" t="s">
        <v>52</v>
      </c>
      <c r="D570" s="13">
        <v>63</v>
      </c>
    </row>
    <row r="571" spans="1:4" x14ac:dyDescent="0.25">
      <c r="A571" s="12" t="s">
        <v>72</v>
      </c>
      <c r="B571" s="34">
        <v>3</v>
      </c>
      <c r="C571" s="13" t="s">
        <v>53</v>
      </c>
      <c r="D571" s="13">
        <v>63</v>
      </c>
    </row>
    <row r="572" spans="1:4" x14ac:dyDescent="0.25">
      <c r="A572" s="12" t="s">
        <v>72</v>
      </c>
      <c r="B572" s="34">
        <v>3</v>
      </c>
      <c r="C572" s="13" t="s">
        <v>54</v>
      </c>
      <c r="D572" s="13">
        <v>63</v>
      </c>
    </row>
    <row r="573" spans="1:4" x14ac:dyDescent="0.25">
      <c r="A573" s="12" t="s">
        <v>72</v>
      </c>
      <c r="B573" s="34">
        <v>3</v>
      </c>
      <c r="C573" s="13" t="s">
        <v>55</v>
      </c>
      <c r="D573" s="13">
        <v>63</v>
      </c>
    </row>
    <row r="574" spans="1:4" x14ac:dyDescent="0.25">
      <c r="A574" s="12" t="s">
        <v>72</v>
      </c>
      <c r="B574" s="34">
        <v>3</v>
      </c>
      <c r="C574" s="13" t="s">
        <v>56</v>
      </c>
      <c r="D574" s="13">
        <v>63</v>
      </c>
    </row>
    <row r="575" spans="1:4" x14ac:dyDescent="0.25">
      <c r="A575" s="12" t="s">
        <v>72</v>
      </c>
      <c r="B575" s="34">
        <v>3</v>
      </c>
      <c r="C575" s="13" t="s">
        <v>57</v>
      </c>
      <c r="D575" s="13">
        <v>63</v>
      </c>
    </row>
    <row r="576" spans="1:4" x14ac:dyDescent="0.25">
      <c r="A576" s="12" t="s">
        <v>72</v>
      </c>
      <c r="B576" s="35">
        <v>4</v>
      </c>
      <c r="C576" s="13" t="s">
        <v>47</v>
      </c>
      <c r="D576" s="13">
        <v>63</v>
      </c>
    </row>
    <row r="577" spans="1:5" x14ac:dyDescent="0.25">
      <c r="A577" s="12" t="s">
        <v>72</v>
      </c>
      <c r="B577" s="35">
        <v>4</v>
      </c>
      <c r="C577" s="13" t="s">
        <v>48</v>
      </c>
      <c r="D577" s="13">
        <v>63</v>
      </c>
    </row>
    <row r="578" spans="1:5" x14ac:dyDescent="0.25">
      <c r="A578" s="12" t="s">
        <v>72</v>
      </c>
      <c r="B578" s="35">
        <v>4</v>
      </c>
      <c r="C578" s="13" t="s">
        <v>49</v>
      </c>
      <c r="D578" s="13">
        <v>63</v>
      </c>
    </row>
    <row r="579" spans="1:5" x14ac:dyDescent="0.25">
      <c r="A579" s="12" t="s">
        <v>72</v>
      </c>
      <c r="B579" s="35">
        <v>4</v>
      </c>
      <c r="C579" s="13" t="s">
        <v>50</v>
      </c>
      <c r="D579" s="13">
        <v>63</v>
      </c>
    </row>
    <row r="580" spans="1:5" x14ac:dyDescent="0.25">
      <c r="A580" s="12" t="s">
        <v>72</v>
      </c>
      <c r="B580" s="35">
        <v>4</v>
      </c>
      <c r="C580" s="13" t="s">
        <v>51</v>
      </c>
      <c r="D580" s="13">
        <v>63</v>
      </c>
    </row>
    <row r="581" spans="1:5" x14ac:dyDescent="0.25">
      <c r="A581" s="12" t="s">
        <v>72</v>
      </c>
      <c r="B581" s="35">
        <v>4</v>
      </c>
      <c r="C581" s="13" t="s">
        <v>52</v>
      </c>
      <c r="D581" s="13">
        <v>63</v>
      </c>
    </row>
    <row r="582" spans="1:5" x14ac:dyDescent="0.25">
      <c r="A582" s="12" t="s">
        <v>72</v>
      </c>
      <c r="B582" s="35">
        <v>4</v>
      </c>
      <c r="C582" s="13" t="s">
        <v>53</v>
      </c>
      <c r="D582" s="13">
        <v>63</v>
      </c>
    </row>
    <row r="583" spans="1:5" x14ac:dyDescent="0.25">
      <c r="A583" s="12" t="s">
        <v>72</v>
      </c>
      <c r="B583" s="35">
        <v>4</v>
      </c>
      <c r="C583" s="13" t="s">
        <v>54</v>
      </c>
      <c r="D583" s="13">
        <v>63</v>
      </c>
    </row>
    <row r="584" spans="1:5" x14ac:dyDescent="0.25">
      <c r="A584" s="12" t="s">
        <v>72</v>
      </c>
      <c r="B584" s="35">
        <v>4</v>
      </c>
      <c r="C584" s="13" t="s">
        <v>55</v>
      </c>
      <c r="D584" s="13">
        <v>63</v>
      </c>
    </row>
    <row r="585" spans="1:5" x14ac:dyDescent="0.25">
      <c r="A585" s="12" t="s">
        <v>72</v>
      </c>
      <c r="B585" s="35">
        <v>4</v>
      </c>
      <c r="C585" s="13" t="s">
        <v>56</v>
      </c>
      <c r="D585" s="13">
        <v>63</v>
      </c>
    </row>
    <row r="586" spans="1:5" x14ac:dyDescent="0.25">
      <c r="A586" s="25" t="s">
        <v>72</v>
      </c>
      <c r="B586" s="37">
        <v>4</v>
      </c>
      <c r="C586" s="13" t="s">
        <v>57</v>
      </c>
      <c r="D586" s="13">
        <v>63</v>
      </c>
      <c r="E586" s="14">
        <f>SUM(D543:D586)</f>
        <v>3276</v>
      </c>
    </row>
    <row r="587" spans="1:5" x14ac:dyDescent="0.25">
      <c r="A587" s="15"/>
    </row>
    <row r="588" spans="1:5" x14ac:dyDescent="0.25">
      <c r="A588" s="15"/>
    </row>
    <row r="589" spans="1:5" x14ac:dyDescent="0.25">
      <c r="A589" s="26" t="s">
        <v>73</v>
      </c>
      <c r="B589" s="39">
        <v>1</v>
      </c>
      <c r="C589" s="13" t="s">
        <v>47</v>
      </c>
      <c r="D589" s="13">
        <v>0</v>
      </c>
    </row>
    <row r="590" spans="1:5" x14ac:dyDescent="0.25">
      <c r="A590" s="26" t="s">
        <v>73</v>
      </c>
      <c r="B590" s="32">
        <v>1</v>
      </c>
      <c r="C590" s="13" t="s">
        <v>48</v>
      </c>
      <c r="D590" s="13">
        <v>0</v>
      </c>
    </row>
    <row r="591" spans="1:5" x14ac:dyDescent="0.25">
      <c r="A591" s="26" t="s">
        <v>73</v>
      </c>
      <c r="B591" s="32">
        <v>1</v>
      </c>
      <c r="C591" s="13" t="s">
        <v>49</v>
      </c>
      <c r="D591" s="13">
        <v>0</v>
      </c>
    </row>
    <row r="592" spans="1:5" x14ac:dyDescent="0.25">
      <c r="A592" s="26" t="s">
        <v>73</v>
      </c>
      <c r="B592" s="32">
        <v>1</v>
      </c>
      <c r="C592" s="13" t="s">
        <v>50</v>
      </c>
      <c r="D592" s="13">
        <v>0</v>
      </c>
    </row>
    <row r="593" spans="1:4" x14ac:dyDescent="0.25">
      <c r="A593" s="26" t="s">
        <v>73</v>
      </c>
      <c r="B593" s="32">
        <v>1</v>
      </c>
      <c r="C593" s="13" t="s">
        <v>51</v>
      </c>
      <c r="D593" s="13">
        <v>0</v>
      </c>
    </row>
    <row r="594" spans="1:4" x14ac:dyDescent="0.25">
      <c r="A594" s="26" t="s">
        <v>73</v>
      </c>
      <c r="B594" s="32">
        <v>1</v>
      </c>
      <c r="C594" s="13" t="s">
        <v>52</v>
      </c>
      <c r="D594" s="13">
        <v>0</v>
      </c>
    </row>
    <row r="595" spans="1:4" x14ac:dyDescent="0.25">
      <c r="A595" s="26" t="s">
        <v>73</v>
      </c>
      <c r="B595" s="32">
        <v>1</v>
      </c>
      <c r="C595" s="13" t="s">
        <v>53</v>
      </c>
      <c r="D595" s="13">
        <v>0</v>
      </c>
    </row>
    <row r="596" spans="1:4" x14ac:dyDescent="0.25">
      <c r="A596" s="26" t="s">
        <v>73</v>
      </c>
      <c r="B596" s="32">
        <v>1</v>
      </c>
      <c r="C596" s="13" t="s">
        <v>54</v>
      </c>
      <c r="D596" s="13">
        <v>126</v>
      </c>
    </row>
    <row r="597" spans="1:4" x14ac:dyDescent="0.25">
      <c r="A597" s="26" t="s">
        <v>73</v>
      </c>
      <c r="B597" s="32">
        <v>1</v>
      </c>
      <c r="C597" s="13" t="s">
        <v>55</v>
      </c>
      <c r="D597" s="13">
        <v>126</v>
      </c>
    </row>
    <row r="598" spans="1:4" x14ac:dyDescent="0.25">
      <c r="A598" s="26" t="s">
        <v>73</v>
      </c>
      <c r="B598" s="32">
        <v>1</v>
      </c>
      <c r="C598" s="13" t="s">
        <v>56</v>
      </c>
      <c r="D598" s="13">
        <v>126</v>
      </c>
    </row>
    <row r="599" spans="1:4" x14ac:dyDescent="0.25">
      <c r="A599" s="26" t="s">
        <v>73</v>
      </c>
      <c r="B599" s="32">
        <v>1</v>
      </c>
      <c r="C599" s="13" t="s">
        <v>57</v>
      </c>
      <c r="D599" s="13">
        <v>126</v>
      </c>
    </row>
    <row r="600" spans="1:4" x14ac:dyDescent="0.25">
      <c r="A600" s="26" t="s">
        <v>73</v>
      </c>
      <c r="B600" s="33">
        <v>2</v>
      </c>
      <c r="C600" s="13" t="s">
        <v>47</v>
      </c>
      <c r="D600" s="13">
        <v>126</v>
      </c>
    </row>
    <row r="601" spans="1:4" x14ac:dyDescent="0.25">
      <c r="A601" s="26" t="s">
        <v>73</v>
      </c>
      <c r="B601" s="33">
        <v>2</v>
      </c>
      <c r="C601" s="13" t="s">
        <v>48</v>
      </c>
      <c r="D601" s="13">
        <v>126</v>
      </c>
    </row>
    <row r="602" spans="1:4" x14ac:dyDescent="0.25">
      <c r="A602" s="26" t="s">
        <v>73</v>
      </c>
      <c r="B602" s="33">
        <v>2</v>
      </c>
      <c r="C602" s="13" t="s">
        <v>49</v>
      </c>
      <c r="D602" s="13">
        <v>126</v>
      </c>
    </row>
    <row r="603" spans="1:4" x14ac:dyDescent="0.25">
      <c r="A603" s="26" t="s">
        <v>73</v>
      </c>
      <c r="B603" s="33">
        <v>2</v>
      </c>
      <c r="C603" s="13" t="s">
        <v>50</v>
      </c>
      <c r="D603" s="13">
        <v>126</v>
      </c>
    </row>
    <row r="604" spans="1:4" x14ac:dyDescent="0.25">
      <c r="A604" s="26" t="s">
        <v>73</v>
      </c>
      <c r="B604" s="33">
        <v>2</v>
      </c>
      <c r="C604" s="13" t="s">
        <v>51</v>
      </c>
      <c r="D604" s="13">
        <v>126</v>
      </c>
    </row>
    <row r="605" spans="1:4" x14ac:dyDescent="0.25">
      <c r="A605" s="26" t="s">
        <v>73</v>
      </c>
      <c r="B605" s="33">
        <v>2</v>
      </c>
      <c r="C605" s="13" t="s">
        <v>52</v>
      </c>
      <c r="D605" s="13">
        <v>126</v>
      </c>
    </row>
    <row r="606" spans="1:4" x14ac:dyDescent="0.25">
      <c r="A606" s="26" t="s">
        <v>73</v>
      </c>
      <c r="B606" s="33">
        <v>2</v>
      </c>
      <c r="C606" s="13" t="s">
        <v>53</v>
      </c>
      <c r="D606" s="13">
        <v>126</v>
      </c>
    </row>
    <row r="607" spans="1:4" x14ac:dyDescent="0.25">
      <c r="A607" s="26" t="s">
        <v>73</v>
      </c>
      <c r="B607" s="33">
        <v>2</v>
      </c>
      <c r="C607" s="13" t="s">
        <v>54</v>
      </c>
      <c r="D607" s="13">
        <v>126</v>
      </c>
    </row>
    <row r="608" spans="1:4" x14ac:dyDescent="0.25">
      <c r="A608" s="26" t="s">
        <v>73</v>
      </c>
      <c r="B608" s="33">
        <v>2</v>
      </c>
      <c r="C608" s="13" t="s">
        <v>55</v>
      </c>
      <c r="D608" s="13">
        <v>126</v>
      </c>
    </row>
    <row r="609" spans="1:4" x14ac:dyDescent="0.25">
      <c r="A609" s="26" t="s">
        <v>73</v>
      </c>
      <c r="B609" s="33">
        <v>2</v>
      </c>
      <c r="C609" s="13" t="s">
        <v>56</v>
      </c>
      <c r="D609" s="13">
        <v>126</v>
      </c>
    </row>
    <row r="610" spans="1:4" x14ac:dyDescent="0.25">
      <c r="A610" s="26" t="s">
        <v>73</v>
      </c>
      <c r="B610" s="33">
        <v>2</v>
      </c>
      <c r="C610" s="13" t="s">
        <v>57</v>
      </c>
      <c r="D610" s="13">
        <v>126</v>
      </c>
    </row>
    <row r="611" spans="1:4" x14ac:dyDescent="0.25">
      <c r="A611" s="26" t="s">
        <v>73</v>
      </c>
      <c r="B611" s="34">
        <v>3</v>
      </c>
      <c r="C611" s="13" t="s">
        <v>47</v>
      </c>
      <c r="D611" s="13">
        <v>63</v>
      </c>
    </row>
    <row r="612" spans="1:4" x14ac:dyDescent="0.25">
      <c r="A612" s="26" t="s">
        <v>73</v>
      </c>
      <c r="B612" s="34">
        <v>3</v>
      </c>
      <c r="C612" s="13" t="s">
        <v>48</v>
      </c>
      <c r="D612" s="13">
        <v>63</v>
      </c>
    </row>
    <row r="613" spans="1:4" x14ac:dyDescent="0.25">
      <c r="A613" s="26" t="s">
        <v>73</v>
      </c>
      <c r="B613" s="34">
        <v>3</v>
      </c>
      <c r="C613" s="13" t="s">
        <v>49</v>
      </c>
      <c r="D613" s="13">
        <v>63</v>
      </c>
    </row>
    <row r="614" spans="1:4" x14ac:dyDescent="0.25">
      <c r="A614" s="26" t="s">
        <v>73</v>
      </c>
      <c r="B614" s="34">
        <v>3</v>
      </c>
      <c r="C614" s="13" t="s">
        <v>50</v>
      </c>
      <c r="D614" s="13">
        <v>63</v>
      </c>
    </row>
    <row r="615" spans="1:4" x14ac:dyDescent="0.25">
      <c r="A615" s="26" t="s">
        <v>73</v>
      </c>
      <c r="B615" s="34">
        <v>3</v>
      </c>
      <c r="C615" s="13" t="s">
        <v>51</v>
      </c>
      <c r="D615" s="13">
        <v>63</v>
      </c>
    </row>
    <row r="616" spans="1:4" x14ac:dyDescent="0.25">
      <c r="A616" s="26" t="s">
        <v>73</v>
      </c>
      <c r="B616" s="34">
        <v>3</v>
      </c>
      <c r="C616" s="13" t="s">
        <v>52</v>
      </c>
      <c r="D616" s="13">
        <v>63</v>
      </c>
    </row>
    <row r="617" spans="1:4" x14ac:dyDescent="0.25">
      <c r="A617" s="26" t="s">
        <v>73</v>
      </c>
      <c r="B617" s="34">
        <v>3</v>
      </c>
      <c r="C617" s="13" t="s">
        <v>53</v>
      </c>
      <c r="D617" s="13">
        <v>63</v>
      </c>
    </row>
    <row r="618" spans="1:4" x14ac:dyDescent="0.25">
      <c r="A618" s="26" t="s">
        <v>73</v>
      </c>
      <c r="B618" s="34">
        <v>3</v>
      </c>
      <c r="C618" s="13" t="s">
        <v>54</v>
      </c>
      <c r="D618" s="13">
        <v>63</v>
      </c>
    </row>
    <row r="619" spans="1:4" x14ac:dyDescent="0.25">
      <c r="A619" s="26" t="s">
        <v>73</v>
      </c>
      <c r="B619" s="34">
        <v>3</v>
      </c>
      <c r="C619" s="13" t="s">
        <v>55</v>
      </c>
      <c r="D619" s="13">
        <v>63</v>
      </c>
    </row>
    <row r="620" spans="1:4" x14ac:dyDescent="0.25">
      <c r="A620" s="26" t="s">
        <v>73</v>
      </c>
      <c r="B620" s="34">
        <v>3</v>
      </c>
      <c r="C620" s="13" t="s">
        <v>56</v>
      </c>
      <c r="D620" s="13">
        <v>63</v>
      </c>
    </row>
    <row r="621" spans="1:4" x14ac:dyDescent="0.25">
      <c r="A621" s="26" t="s">
        <v>73</v>
      </c>
      <c r="B621" s="34">
        <v>3</v>
      </c>
      <c r="C621" s="13" t="s">
        <v>57</v>
      </c>
      <c r="D621" s="13">
        <v>63</v>
      </c>
    </row>
    <row r="622" spans="1:4" x14ac:dyDescent="0.25">
      <c r="A622" s="26" t="s">
        <v>73</v>
      </c>
      <c r="B622" s="35">
        <v>4</v>
      </c>
      <c r="C622" s="13" t="s">
        <v>47</v>
      </c>
      <c r="D622" s="13">
        <v>63</v>
      </c>
    </row>
    <row r="623" spans="1:4" x14ac:dyDescent="0.25">
      <c r="A623" s="26" t="s">
        <v>73</v>
      </c>
      <c r="B623" s="35">
        <v>4</v>
      </c>
      <c r="C623" s="13" t="s">
        <v>48</v>
      </c>
      <c r="D623" s="13">
        <v>63</v>
      </c>
    </row>
    <row r="624" spans="1:4" x14ac:dyDescent="0.25">
      <c r="A624" s="26" t="s">
        <v>73</v>
      </c>
      <c r="B624" s="35">
        <v>4</v>
      </c>
      <c r="C624" s="13" t="s">
        <v>49</v>
      </c>
      <c r="D624" s="13">
        <v>63</v>
      </c>
    </row>
    <row r="625" spans="1:5" x14ac:dyDescent="0.25">
      <c r="A625" s="26" t="s">
        <v>73</v>
      </c>
      <c r="B625" s="35">
        <v>4</v>
      </c>
      <c r="C625" s="13" t="s">
        <v>50</v>
      </c>
      <c r="D625" s="13">
        <v>63</v>
      </c>
    </row>
    <row r="626" spans="1:5" x14ac:dyDescent="0.25">
      <c r="A626" s="26" t="s">
        <v>73</v>
      </c>
      <c r="B626" s="35">
        <v>4</v>
      </c>
      <c r="C626" s="13" t="s">
        <v>51</v>
      </c>
      <c r="D626" s="13">
        <v>63</v>
      </c>
    </row>
    <row r="627" spans="1:5" x14ac:dyDescent="0.25">
      <c r="A627" s="26" t="s">
        <v>73</v>
      </c>
      <c r="B627" s="35">
        <v>4</v>
      </c>
      <c r="C627" s="13" t="s">
        <v>52</v>
      </c>
      <c r="D627" s="13">
        <v>63</v>
      </c>
    </row>
    <row r="628" spans="1:5" x14ac:dyDescent="0.25">
      <c r="A628" s="26" t="s">
        <v>73</v>
      </c>
      <c r="B628" s="35">
        <v>4</v>
      </c>
      <c r="C628" s="13" t="s">
        <v>53</v>
      </c>
      <c r="D628" s="13">
        <v>63</v>
      </c>
    </row>
    <row r="629" spans="1:5" x14ac:dyDescent="0.25">
      <c r="A629" s="26" t="s">
        <v>73</v>
      </c>
      <c r="B629" s="35">
        <v>4</v>
      </c>
      <c r="C629" s="13" t="s">
        <v>54</v>
      </c>
      <c r="D629" s="13">
        <v>63</v>
      </c>
    </row>
    <row r="630" spans="1:5" x14ac:dyDescent="0.25">
      <c r="A630" s="26" t="s">
        <v>73</v>
      </c>
      <c r="B630" s="35">
        <v>4</v>
      </c>
      <c r="C630" s="13" t="s">
        <v>55</v>
      </c>
      <c r="D630" s="13">
        <v>63</v>
      </c>
    </row>
    <row r="631" spans="1:5" x14ac:dyDescent="0.25">
      <c r="A631" s="26" t="s">
        <v>73</v>
      </c>
      <c r="B631" s="35">
        <v>4</v>
      </c>
      <c r="C631" s="13" t="s">
        <v>56</v>
      </c>
      <c r="D631" s="13">
        <v>63</v>
      </c>
    </row>
    <row r="632" spans="1:5" x14ac:dyDescent="0.25">
      <c r="A632" s="26" t="s">
        <v>73</v>
      </c>
      <c r="B632" s="35">
        <v>4</v>
      </c>
      <c r="C632" s="13" t="s">
        <v>57</v>
      </c>
      <c r="D632" s="13">
        <v>63</v>
      </c>
      <c r="E632" s="14">
        <f>SUM(D589:D632)</f>
        <v>3276</v>
      </c>
    </row>
    <row r="634" spans="1:5" x14ac:dyDescent="0.25">
      <c r="A634" s="26" t="s">
        <v>76</v>
      </c>
      <c r="B634" s="39">
        <v>1</v>
      </c>
      <c r="C634" s="13" t="s">
        <v>47</v>
      </c>
      <c r="D634" s="13">
        <v>75</v>
      </c>
    </row>
    <row r="635" spans="1:5" x14ac:dyDescent="0.25">
      <c r="A635" s="26" t="s">
        <v>76</v>
      </c>
      <c r="B635" s="32">
        <v>1</v>
      </c>
      <c r="C635" s="13" t="s">
        <v>48</v>
      </c>
      <c r="D635" s="13">
        <v>75</v>
      </c>
    </row>
    <row r="636" spans="1:5" x14ac:dyDescent="0.25">
      <c r="A636" s="26" t="s">
        <v>76</v>
      </c>
      <c r="B636" s="32">
        <v>1</v>
      </c>
      <c r="C636" s="13" t="s">
        <v>49</v>
      </c>
      <c r="D636" s="13">
        <v>75</v>
      </c>
    </row>
    <row r="637" spans="1:5" x14ac:dyDescent="0.25">
      <c r="A637" s="26" t="s">
        <v>76</v>
      </c>
      <c r="B637" s="32">
        <v>1</v>
      </c>
      <c r="C637" s="13" t="s">
        <v>50</v>
      </c>
      <c r="D637" s="13">
        <v>75</v>
      </c>
    </row>
    <row r="638" spans="1:5" x14ac:dyDescent="0.25">
      <c r="A638" s="26" t="s">
        <v>76</v>
      </c>
      <c r="B638" s="32">
        <v>1</v>
      </c>
      <c r="C638" s="13" t="s">
        <v>51</v>
      </c>
      <c r="D638" s="13">
        <v>75</v>
      </c>
    </row>
    <row r="639" spans="1:5" x14ac:dyDescent="0.25">
      <c r="A639" s="26" t="s">
        <v>76</v>
      </c>
      <c r="B639" s="32">
        <v>1</v>
      </c>
      <c r="C639" s="13" t="s">
        <v>52</v>
      </c>
      <c r="D639" s="13">
        <v>75</v>
      </c>
    </row>
    <row r="640" spans="1:5" x14ac:dyDescent="0.25">
      <c r="A640" s="26" t="s">
        <v>76</v>
      </c>
      <c r="B640" s="32">
        <v>1</v>
      </c>
      <c r="C640" s="13" t="s">
        <v>53</v>
      </c>
      <c r="D640" s="13">
        <v>75</v>
      </c>
    </row>
    <row r="641" spans="1:4" x14ac:dyDescent="0.25">
      <c r="A641" s="26" t="s">
        <v>76</v>
      </c>
      <c r="B641" s="32">
        <v>1</v>
      </c>
      <c r="C641" s="13" t="s">
        <v>54</v>
      </c>
      <c r="D641" s="13">
        <v>75</v>
      </c>
    </row>
    <row r="642" spans="1:4" x14ac:dyDescent="0.25">
      <c r="A642" s="26" t="s">
        <v>76</v>
      </c>
      <c r="B642" s="32">
        <v>1</v>
      </c>
      <c r="C642" s="13" t="s">
        <v>55</v>
      </c>
      <c r="D642" s="13">
        <v>75</v>
      </c>
    </row>
    <row r="643" spans="1:4" x14ac:dyDescent="0.25">
      <c r="A643" s="26" t="s">
        <v>76</v>
      </c>
      <c r="B643" s="32">
        <v>1</v>
      </c>
      <c r="C643" s="13" t="s">
        <v>56</v>
      </c>
      <c r="D643" s="13">
        <v>75</v>
      </c>
    </row>
    <row r="644" spans="1:4" x14ac:dyDescent="0.25">
      <c r="A644" s="26" t="s">
        <v>76</v>
      </c>
      <c r="B644" s="32">
        <v>1</v>
      </c>
      <c r="C644" s="13" t="s">
        <v>57</v>
      </c>
      <c r="D644" s="13">
        <v>75</v>
      </c>
    </row>
    <row r="645" spans="1:4" x14ac:dyDescent="0.25">
      <c r="A645" s="26" t="s">
        <v>76</v>
      </c>
      <c r="B645" s="33">
        <v>2</v>
      </c>
      <c r="C645" s="13" t="s">
        <v>47</v>
      </c>
      <c r="D645" s="13">
        <v>0</v>
      </c>
    </row>
    <row r="646" spans="1:4" x14ac:dyDescent="0.25">
      <c r="A646" s="26" t="s">
        <v>76</v>
      </c>
      <c r="B646" s="33">
        <v>2</v>
      </c>
      <c r="C646" s="13" t="s">
        <v>48</v>
      </c>
      <c r="D646" s="13">
        <v>0</v>
      </c>
    </row>
    <row r="647" spans="1:4" x14ac:dyDescent="0.25">
      <c r="A647" s="26" t="s">
        <v>76</v>
      </c>
      <c r="B647" s="33">
        <v>2</v>
      </c>
      <c r="C647" s="13" t="s">
        <v>49</v>
      </c>
      <c r="D647" s="13">
        <v>0</v>
      </c>
    </row>
    <row r="648" spans="1:4" x14ac:dyDescent="0.25">
      <c r="A648" s="26" t="s">
        <v>76</v>
      </c>
      <c r="B648" s="33">
        <v>2</v>
      </c>
      <c r="C648" s="13" t="s">
        <v>50</v>
      </c>
      <c r="D648" s="13">
        <v>0</v>
      </c>
    </row>
    <row r="649" spans="1:4" x14ac:dyDescent="0.25">
      <c r="A649" s="26" t="s">
        <v>76</v>
      </c>
      <c r="B649" s="33">
        <v>2</v>
      </c>
      <c r="C649" s="13" t="s">
        <v>51</v>
      </c>
      <c r="D649" s="13">
        <v>0</v>
      </c>
    </row>
    <row r="650" spans="1:4" x14ac:dyDescent="0.25">
      <c r="A650" s="26" t="s">
        <v>76</v>
      </c>
      <c r="B650" s="33">
        <v>2</v>
      </c>
      <c r="C650" s="13" t="s">
        <v>52</v>
      </c>
      <c r="D650" s="13">
        <v>0</v>
      </c>
    </row>
    <row r="651" spans="1:4" x14ac:dyDescent="0.25">
      <c r="A651" s="26" t="s">
        <v>76</v>
      </c>
      <c r="B651" s="33">
        <v>2</v>
      </c>
      <c r="C651" s="13" t="s">
        <v>53</v>
      </c>
      <c r="D651" s="13">
        <v>0</v>
      </c>
    </row>
    <row r="652" spans="1:4" x14ac:dyDescent="0.25">
      <c r="A652" s="26" t="s">
        <v>76</v>
      </c>
      <c r="B652" s="33">
        <v>2</v>
      </c>
      <c r="C652" s="13" t="s">
        <v>54</v>
      </c>
      <c r="D652" s="13">
        <v>0</v>
      </c>
    </row>
    <row r="653" spans="1:4" x14ac:dyDescent="0.25">
      <c r="A653" s="26" t="s">
        <v>76</v>
      </c>
      <c r="B653" s="33">
        <v>2</v>
      </c>
      <c r="C653" s="13" t="s">
        <v>55</v>
      </c>
      <c r="D653" s="13">
        <v>0</v>
      </c>
    </row>
    <row r="654" spans="1:4" x14ac:dyDescent="0.25">
      <c r="A654" s="26" t="s">
        <v>76</v>
      </c>
      <c r="B654" s="33">
        <v>2</v>
      </c>
      <c r="C654" s="13" t="s">
        <v>56</v>
      </c>
      <c r="D654" s="13">
        <v>0</v>
      </c>
    </row>
    <row r="655" spans="1:4" x14ac:dyDescent="0.25">
      <c r="A655" s="26" t="s">
        <v>76</v>
      </c>
      <c r="B655" s="33">
        <v>2</v>
      </c>
      <c r="C655" s="13" t="s">
        <v>57</v>
      </c>
      <c r="D655" s="13">
        <v>0</v>
      </c>
    </row>
    <row r="656" spans="1:4" x14ac:dyDescent="0.25">
      <c r="A656" s="26" t="s">
        <v>76</v>
      </c>
      <c r="B656" s="34">
        <v>3</v>
      </c>
      <c r="C656" s="13" t="s">
        <v>47</v>
      </c>
      <c r="D656" s="13">
        <v>0</v>
      </c>
    </row>
    <row r="657" spans="1:4" x14ac:dyDescent="0.25">
      <c r="A657" s="26" t="s">
        <v>76</v>
      </c>
      <c r="B657" s="34">
        <v>3</v>
      </c>
      <c r="C657" s="13" t="s">
        <v>48</v>
      </c>
      <c r="D657" s="13">
        <v>0</v>
      </c>
    </row>
    <row r="658" spans="1:4" x14ac:dyDescent="0.25">
      <c r="A658" s="26" t="s">
        <v>76</v>
      </c>
      <c r="B658" s="34">
        <v>3</v>
      </c>
      <c r="C658" s="13" t="s">
        <v>49</v>
      </c>
      <c r="D658" s="13">
        <v>0</v>
      </c>
    </row>
    <row r="659" spans="1:4" x14ac:dyDescent="0.25">
      <c r="A659" s="26" t="s">
        <v>76</v>
      </c>
      <c r="B659" s="34">
        <v>3</v>
      </c>
      <c r="C659" s="13" t="s">
        <v>50</v>
      </c>
      <c r="D659" s="13">
        <v>0</v>
      </c>
    </row>
    <row r="660" spans="1:4" x14ac:dyDescent="0.25">
      <c r="A660" s="26" t="s">
        <v>76</v>
      </c>
      <c r="B660" s="34">
        <v>3</v>
      </c>
      <c r="C660" s="13" t="s">
        <v>51</v>
      </c>
      <c r="D660" s="13">
        <v>0</v>
      </c>
    </row>
    <row r="661" spans="1:4" x14ac:dyDescent="0.25">
      <c r="A661" s="26" t="s">
        <v>76</v>
      </c>
      <c r="B661" s="34">
        <v>3</v>
      </c>
      <c r="C661" s="13" t="s">
        <v>52</v>
      </c>
      <c r="D661" s="13">
        <v>0</v>
      </c>
    </row>
    <row r="662" spans="1:4" x14ac:dyDescent="0.25">
      <c r="A662" s="26" t="s">
        <v>76</v>
      </c>
      <c r="B662" s="34">
        <v>3</v>
      </c>
      <c r="C662" s="13" t="s">
        <v>53</v>
      </c>
      <c r="D662" s="13">
        <v>0</v>
      </c>
    </row>
    <row r="663" spans="1:4" x14ac:dyDescent="0.25">
      <c r="A663" s="26" t="s">
        <v>76</v>
      </c>
      <c r="B663" s="34">
        <v>3</v>
      </c>
      <c r="C663" s="13" t="s">
        <v>54</v>
      </c>
      <c r="D663" s="13">
        <v>0</v>
      </c>
    </row>
    <row r="664" spans="1:4" x14ac:dyDescent="0.25">
      <c r="A664" s="26" t="s">
        <v>76</v>
      </c>
      <c r="B664" s="34">
        <v>3</v>
      </c>
      <c r="C664" s="13" t="s">
        <v>55</v>
      </c>
      <c r="D664" s="13">
        <v>0</v>
      </c>
    </row>
    <row r="665" spans="1:4" x14ac:dyDescent="0.25">
      <c r="A665" s="26" t="s">
        <v>76</v>
      </c>
      <c r="B665" s="34">
        <v>3</v>
      </c>
      <c r="C665" s="13" t="s">
        <v>56</v>
      </c>
      <c r="D665" s="13">
        <v>0</v>
      </c>
    </row>
    <row r="666" spans="1:4" x14ac:dyDescent="0.25">
      <c r="A666" s="26" t="s">
        <v>76</v>
      </c>
      <c r="B666" s="34">
        <v>3</v>
      </c>
      <c r="C666" s="13" t="s">
        <v>57</v>
      </c>
      <c r="D666" s="13">
        <v>0</v>
      </c>
    </row>
    <row r="667" spans="1:4" x14ac:dyDescent="0.25">
      <c r="A667" s="26" t="s">
        <v>76</v>
      </c>
      <c r="B667" s="35">
        <v>4</v>
      </c>
      <c r="C667" s="13" t="s">
        <v>47</v>
      </c>
      <c r="D667" s="13">
        <v>0</v>
      </c>
    </row>
    <row r="668" spans="1:4" x14ac:dyDescent="0.25">
      <c r="A668" s="26" t="s">
        <v>76</v>
      </c>
      <c r="B668" s="35">
        <v>4</v>
      </c>
      <c r="C668" s="13" t="s">
        <v>48</v>
      </c>
      <c r="D668" s="13">
        <v>0</v>
      </c>
    </row>
    <row r="669" spans="1:4" x14ac:dyDescent="0.25">
      <c r="A669" s="26" t="s">
        <v>76</v>
      </c>
      <c r="B669" s="35">
        <v>4</v>
      </c>
      <c r="C669" s="13" t="s">
        <v>49</v>
      </c>
      <c r="D669" s="13">
        <v>0</v>
      </c>
    </row>
    <row r="670" spans="1:4" x14ac:dyDescent="0.25">
      <c r="A670" s="26" t="s">
        <v>76</v>
      </c>
      <c r="B670" s="35">
        <v>4</v>
      </c>
      <c r="C670" s="13" t="s">
        <v>50</v>
      </c>
      <c r="D670" s="13">
        <v>0</v>
      </c>
    </row>
    <row r="671" spans="1:4" x14ac:dyDescent="0.25">
      <c r="A671" s="26" t="s">
        <v>76</v>
      </c>
      <c r="B671" s="35">
        <v>4</v>
      </c>
      <c r="C671" s="13" t="s">
        <v>51</v>
      </c>
      <c r="D671" s="13">
        <v>0</v>
      </c>
    </row>
    <row r="672" spans="1:4" x14ac:dyDescent="0.25">
      <c r="A672" s="26" t="s">
        <v>76</v>
      </c>
      <c r="B672" s="35">
        <v>4</v>
      </c>
      <c r="C672" s="13" t="s">
        <v>52</v>
      </c>
      <c r="D672" s="13">
        <v>0</v>
      </c>
    </row>
    <row r="673" spans="1:5" x14ac:dyDescent="0.25">
      <c r="A673" s="26" t="s">
        <v>76</v>
      </c>
      <c r="B673" s="35">
        <v>4</v>
      </c>
      <c r="C673" s="13" t="s">
        <v>53</v>
      </c>
      <c r="D673" s="13">
        <v>0</v>
      </c>
    </row>
    <row r="674" spans="1:5" x14ac:dyDescent="0.25">
      <c r="A674" s="26" t="s">
        <v>76</v>
      </c>
      <c r="B674" s="35">
        <v>4</v>
      </c>
      <c r="C674" s="13" t="s">
        <v>54</v>
      </c>
      <c r="D674" s="13">
        <v>0</v>
      </c>
    </row>
    <row r="675" spans="1:5" x14ac:dyDescent="0.25">
      <c r="A675" s="26" t="s">
        <v>76</v>
      </c>
      <c r="B675" s="35">
        <v>4</v>
      </c>
      <c r="C675" s="13" t="s">
        <v>55</v>
      </c>
      <c r="D675" s="13">
        <v>0</v>
      </c>
    </row>
    <row r="676" spans="1:5" x14ac:dyDescent="0.25">
      <c r="A676" s="26" t="s">
        <v>76</v>
      </c>
      <c r="B676" s="35">
        <v>4</v>
      </c>
      <c r="C676" s="13" t="s">
        <v>56</v>
      </c>
      <c r="D676" s="13">
        <v>0</v>
      </c>
    </row>
    <row r="677" spans="1:5" x14ac:dyDescent="0.25">
      <c r="A677" s="26" t="s">
        <v>76</v>
      </c>
      <c r="B677" s="35">
        <v>4</v>
      </c>
      <c r="C677" s="13" t="s">
        <v>57</v>
      </c>
      <c r="D677" s="13">
        <v>0</v>
      </c>
      <c r="E677" s="14">
        <f>SUM(D634:D677)</f>
        <v>825</v>
      </c>
    </row>
  </sheetData>
  <phoneticPr fontId="12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4"/>
  <sheetViews>
    <sheetView zoomScaleNormal="100"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K17" sqref="K17"/>
    </sheetView>
  </sheetViews>
  <sheetFormatPr defaultColWidth="8.7109375" defaultRowHeight="18" x14ac:dyDescent="0.25"/>
  <cols>
    <col min="1" max="1" width="29" style="67" bestFit="1" customWidth="1"/>
    <col min="2" max="2" width="19" style="17" bestFit="1" customWidth="1"/>
    <col min="3" max="7" width="15.140625" style="17" customWidth="1"/>
    <col min="8" max="8" width="21.28515625" style="17" bestFit="1" customWidth="1"/>
    <col min="9" max="10" width="8.7109375" style="17"/>
  </cols>
  <sheetData>
    <row r="1" spans="1:8" ht="19.5" customHeight="1" x14ac:dyDescent="0.25">
      <c r="A1" s="64" t="s">
        <v>0</v>
      </c>
      <c r="B1" s="18" t="s">
        <v>2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</row>
    <row r="2" spans="1:8" x14ac:dyDescent="0.25">
      <c r="A2" s="65" t="str">
        <f>Generale!A4</f>
        <v>Andretto Elia</v>
      </c>
      <c r="B2" s="85" t="str">
        <f>Generale!C4</f>
        <v>CTER</v>
      </c>
      <c r="C2" s="19">
        <f>SUMIFS('Ore-Mese'!$D:$D,'Ore-Mese'!$A:$A,'Mesi-Uomo'!$A2,'Ore-Mese'!$B:$B,VALUE(RIGHT('Mesi-Uomo'!C$1,1)))/1502*12</f>
        <v>1.2655126498002667</v>
      </c>
      <c r="D2" s="19">
        <f>SUMIFS('Ore-Mese'!$D:$D,'Ore-Mese'!$A:$A,'Mesi-Uomo'!$A2,'Ore-Mese'!$B:$B,VALUE(RIGHT('Mesi-Uomo'!D$1,1)))/1502*12</f>
        <v>0.71185086551264964</v>
      </c>
      <c r="E2" s="19">
        <f>SUMIFS('Ore-Mese'!$D:$D,'Ore-Mese'!$A:$A,'Mesi-Uomo'!$A2,'Ore-Mese'!$B:$B,VALUE(RIGHT('Mesi-Uomo'!E$1,1)))/1502*12</f>
        <v>0.71185086551264964</v>
      </c>
      <c r="F2" s="19">
        <f>SUMIFS('Ore-Mese'!$D:$D,'Ore-Mese'!$A:$A,'Mesi-Uomo'!$A2,'Ore-Mese'!$B:$B,VALUE(RIGHT('Mesi-Uomo'!F$1,1)))/1502*12</f>
        <v>1.2655126498002667</v>
      </c>
      <c r="G2" s="20">
        <f t="shared" ref="G2:G23" si="0">SUM(C2:F2)</f>
        <v>3.9547270306258326</v>
      </c>
      <c r="H2" s="21">
        <f>SUMIF('Ore-Mese'!$A:$A,'Mesi-Uomo'!$A2,'Ore-Mese'!$D:$D)</f>
        <v>494.99999999999994</v>
      </c>
    </row>
    <row r="3" spans="1:8" x14ac:dyDescent="0.25">
      <c r="A3" s="65" t="str">
        <f>Generale!A5</f>
        <v>Bozzi Roberto</v>
      </c>
      <c r="B3" s="85" t="str">
        <f>Generale!C5</f>
        <v>CTER</v>
      </c>
      <c r="C3" s="19">
        <f>SUMIFS('Ore-Mese'!$D:$D,'Ore-Mese'!$A:$A,'Mesi-Uomo'!$A3,'Ore-Mese'!$B:$B,VALUE(RIGHT('Mesi-Uomo'!C$1,1)))/1502*12</f>
        <v>1.2655126498002667</v>
      </c>
      <c r="D3" s="19">
        <f>SUMIFS('Ore-Mese'!$D:$D,'Ore-Mese'!$A:$A,'Mesi-Uomo'!$A3,'Ore-Mese'!$B:$B,VALUE(RIGHT('Mesi-Uomo'!D$1,1)))/1502*12</f>
        <v>0.71185086551264964</v>
      </c>
      <c r="E3" s="19">
        <f>SUMIFS('Ore-Mese'!$D:$D,'Ore-Mese'!$A:$A,'Mesi-Uomo'!$A3,'Ore-Mese'!$B:$B,VALUE(RIGHT('Mesi-Uomo'!E$1,1)))/1502*12</f>
        <v>0.71185086551264964</v>
      </c>
      <c r="F3" s="19">
        <f>SUMIFS('Ore-Mese'!$D:$D,'Ore-Mese'!$A:$A,'Mesi-Uomo'!$A3,'Ore-Mese'!$B:$B,VALUE(RIGHT('Mesi-Uomo'!F$1,1)))/1502*12</f>
        <v>1.2655126498002667</v>
      </c>
      <c r="G3" s="20">
        <f t="shared" si="0"/>
        <v>3.9547270306258326</v>
      </c>
      <c r="H3" s="21">
        <f>SUMIF('Ore-Mese'!$A:$A,'Mesi-Uomo'!$A3,'Ore-Mese'!$D:$D)</f>
        <v>494.99999999999994</v>
      </c>
    </row>
    <row r="4" spans="1:8" x14ac:dyDescent="0.25">
      <c r="A4" s="65" t="str">
        <f>Generale!A6</f>
        <v>Caimmi Marco</v>
      </c>
      <c r="B4" s="85" t="str">
        <f>Generale!C6</f>
        <v>I ricercatore</v>
      </c>
      <c r="C4" s="19">
        <f>SUMIFS('Ore-Mese'!$D:$D,'Ore-Mese'!$A:$A,'Mesi-Uomo'!$A4,'Ore-Mese'!$B:$B,VALUE(RIGHT('Mesi-Uomo'!C$1,1)))/1502*12</f>
        <v>4.3941411451398134</v>
      </c>
      <c r="D4" s="19">
        <f>SUMIFS('Ore-Mese'!$D:$D,'Ore-Mese'!$A:$A,'Mesi-Uomo'!$A4,'Ore-Mese'!$B:$B,VALUE(RIGHT('Mesi-Uomo'!D$1,1)))/1502*12</f>
        <v>1.0545938748335553</v>
      </c>
      <c r="E4" s="19">
        <f>SUMIFS('Ore-Mese'!$D:$D,'Ore-Mese'!$A:$A,'Mesi-Uomo'!$A4,'Ore-Mese'!$B:$B,VALUE(RIGHT('Mesi-Uomo'!E$1,1)))/1502*12</f>
        <v>0</v>
      </c>
      <c r="F4" s="19">
        <f>SUMIFS('Ore-Mese'!$D:$D,'Ore-Mese'!$A:$A,'Mesi-Uomo'!$A4,'Ore-Mese'!$B:$B,VALUE(RIGHT('Mesi-Uomo'!F$1,1)))/1502*12</f>
        <v>0</v>
      </c>
      <c r="G4" s="20">
        <f t="shared" si="0"/>
        <v>5.4487350199733688</v>
      </c>
      <c r="H4" s="21">
        <f>SUMIF('Ore-Mese'!$A:$A,'Mesi-Uomo'!$A4,'Ore-Mese'!$D:$D)</f>
        <v>682</v>
      </c>
    </row>
    <row r="5" spans="1:8" x14ac:dyDescent="0.25">
      <c r="A5" s="65" t="str">
        <f>Generale!A7</f>
        <v>Chizzoli Guido</v>
      </c>
      <c r="B5" s="85" t="str">
        <f>Generale!C7</f>
        <v>Ricercatore III</v>
      </c>
      <c r="C5" s="19">
        <f>SUMIFS('Ore-Mese'!$D:$D,'Ore-Mese'!$A:$A,'Mesi-Uomo'!$A5,'Ore-Mese'!$B:$B,VALUE(RIGHT('Mesi-Uomo'!C$1,1)))/1502*12</f>
        <v>1.0106524633821572</v>
      </c>
      <c r="D5" s="19">
        <f>SUMIFS('Ore-Mese'!$D:$D,'Ore-Mese'!$A:$A,'Mesi-Uomo'!$A5,'Ore-Mese'!$B:$B,VALUE(RIGHT('Mesi-Uomo'!D$1,1)))/1502*12</f>
        <v>0</v>
      </c>
      <c r="E5" s="19">
        <f>SUMIFS('Ore-Mese'!$D:$D,'Ore-Mese'!$A:$A,'Mesi-Uomo'!$A5,'Ore-Mese'!$B:$B,VALUE(RIGHT('Mesi-Uomo'!E$1,1)))/1502*12</f>
        <v>0</v>
      </c>
      <c r="F5" s="19">
        <f>SUMIFS('Ore-Mese'!$D:$D,'Ore-Mese'!$A:$A,'Mesi-Uomo'!$A5,'Ore-Mese'!$B:$B,VALUE(RIGHT('Mesi-Uomo'!F$1,1)))/1502*12</f>
        <v>0</v>
      </c>
      <c r="G5" s="20">
        <f t="shared" si="0"/>
        <v>1.0106524633821572</v>
      </c>
      <c r="H5" s="21">
        <f>SUMIF('Ore-Mese'!$A:$A,'Mesi-Uomo'!$A5,'Ore-Mese'!$D:$D)</f>
        <v>126.5</v>
      </c>
    </row>
    <row r="6" spans="1:8" x14ac:dyDescent="0.25">
      <c r="A6" s="65" t="str">
        <f>Generale!A8</f>
        <v>Dinon Tito</v>
      </c>
      <c r="B6" s="85" t="str">
        <f>Generale!C8</f>
        <v>CTER</v>
      </c>
      <c r="C6" s="19">
        <f>SUMIFS('Ore-Mese'!$D:$D,'Ore-Mese'!$A:$A,'Mesi-Uomo'!$A6,'Ore-Mese'!$B:$B,VALUE(RIGHT('Mesi-Uomo'!C$1,1)))/1502*12</f>
        <v>1.2655126498002667</v>
      </c>
      <c r="D6" s="19">
        <f>SUMIFS('Ore-Mese'!$D:$D,'Ore-Mese'!$A:$A,'Mesi-Uomo'!$A6,'Ore-Mese'!$B:$B,VALUE(RIGHT('Mesi-Uomo'!D$1,1)))/1502*12</f>
        <v>1.2655126498002667</v>
      </c>
      <c r="E6" s="19">
        <f>SUMIFS('Ore-Mese'!$D:$D,'Ore-Mese'!$A:$A,'Mesi-Uomo'!$A6,'Ore-Mese'!$B:$B,VALUE(RIGHT('Mesi-Uomo'!E$1,1)))/1502*12</f>
        <v>0.90519307589880149</v>
      </c>
      <c r="F6" s="19">
        <f>SUMIFS('Ore-Mese'!$D:$D,'Ore-Mese'!$A:$A,'Mesi-Uomo'!$A6,'Ore-Mese'!$B:$B,VALUE(RIGHT('Mesi-Uomo'!F$1,1)))/1502*12</f>
        <v>0.71185086551264964</v>
      </c>
      <c r="G6" s="20">
        <f t="shared" si="0"/>
        <v>4.148069241011985</v>
      </c>
      <c r="H6" s="21">
        <f>SUMIF('Ore-Mese'!$A:$A,'Mesi-Uomo'!$A6,'Ore-Mese'!$D:$D)</f>
        <v>519.20000000000027</v>
      </c>
    </row>
    <row r="7" spans="1:8" x14ac:dyDescent="0.25">
      <c r="A7" s="65" t="str">
        <f>Generale!A9</f>
        <v>Mottura Stefano</v>
      </c>
      <c r="B7" s="85" t="str">
        <f>Generale!C9</f>
        <v>I Tecnologo</v>
      </c>
      <c r="C7" s="19">
        <f>SUMIFS('Ore-Mese'!$D:$D,'Ore-Mese'!$A:$A,'Mesi-Uomo'!$A7,'Ore-Mese'!$B:$B,VALUE(RIGHT('Mesi-Uomo'!C$1,1)))/1502*12</f>
        <v>4.7896138482023964</v>
      </c>
      <c r="D7" s="19">
        <f>SUMIFS('Ore-Mese'!$D:$D,'Ore-Mese'!$A:$A,'Mesi-Uomo'!$A7,'Ore-Mese'!$B:$B,VALUE(RIGHT('Mesi-Uomo'!D$1,1)))/1502*12</f>
        <v>4.7896138482023964</v>
      </c>
      <c r="E7" s="19">
        <f>SUMIFS('Ore-Mese'!$D:$D,'Ore-Mese'!$A:$A,'Mesi-Uomo'!$A7,'Ore-Mese'!$B:$B,VALUE(RIGHT('Mesi-Uomo'!E$1,1)))/1502*12</f>
        <v>3.436218375499335</v>
      </c>
      <c r="F7" s="19">
        <f>SUMIFS('Ore-Mese'!$D:$D,'Ore-Mese'!$A:$A,'Mesi-Uomo'!$A7,'Ore-Mese'!$B:$B,VALUE(RIGHT('Mesi-Uomo'!F$1,1)))/1502*12</f>
        <v>2.7067909454061256</v>
      </c>
      <c r="G7" s="20">
        <f t="shared" si="0"/>
        <v>15.722237017310253</v>
      </c>
      <c r="H7" s="21">
        <f>SUMIF('Ore-Mese'!$A:$A,'Mesi-Uomo'!$A7,'Ore-Mese'!$D:$D)</f>
        <v>1967.8999999999985</v>
      </c>
    </row>
    <row r="8" spans="1:8" x14ac:dyDescent="0.25">
      <c r="A8" s="65" t="str">
        <f>Generale!A10</f>
        <v>Pedrocchi Nicola</v>
      </c>
      <c r="B8" s="85" t="str">
        <f>Generale!C10</f>
        <v>Dir. Ricerca</v>
      </c>
      <c r="C8" s="19">
        <f>SUMIFS('Ore-Mese'!$D:$D,'Ore-Mese'!$A:$A,'Mesi-Uomo'!$A8,'Ore-Mese'!$B:$B,VALUE(RIGHT('Mesi-Uomo'!C$1,1)))/1502*12</f>
        <v>11.07323568575233</v>
      </c>
      <c r="D8" s="19">
        <f>SUMIFS('Ore-Mese'!$D:$D,'Ore-Mese'!$A:$A,'Mesi-Uomo'!$A8,'Ore-Mese'!$B:$B,VALUE(RIGHT('Mesi-Uomo'!D$1,1)))/1502*12</f>
        <v>11.07323568575233</v>
      </c>
      <c r="E8" s="19">
        <f>SUMIFS('Ore-Mese'!$D:$D,'Ore-Mese'!$A:$A,'Mesi-Uomo'!$A8,'Ore-Mese'!$B:$B,VALUE(RIGHT('Mesi-Uomo'!E$1,1)))/1502*12</f>
        <v>8.8234354194407452</v>
      </c>
      <c r="F8" s="19">
        <f>SUMIFS('Ore-Mese'!$D:$D,'Ore-Mese'!$A:$A,'Mesi-Uomo'!$A8,'Ore-Mese'!$B:$B,VALUE(RIGHT('Mesi-Uomo'!F$1,1)))/1502*12</f>
        <v>5.2729693741677766</v>
      </c>
      <c r="G8" s="20">
        <f t="shared" si="0"/>
        <v>36.242876165113181</v>
      </c>
      <c r="H8" s="21">
        <f>SUMIF('Ore-Mese'!$A:$A,'Mesi-Uomo'!$A8,'Ore-Mese'!$D:$D)</f>
        <v>4536.4000000000015</v>
      </c>
    </row>
    <row r="9" spans="1:8" x14ac:dyDescent="0.25">
      <c r="A9" s="65" t="str">
        <f>Generale!A11</f>
        <v>Silva Fabrizio</v>
      </c>
      <c r="B9" s="85" t="str">
        <f>Generale!C11</f>
        <v>Tecnologo III</v>
      </c>
      <c r="C9" s="19">
        <f>SUMIFS('Ore-Mese'!$D:$D,'Ore-Mese'!$A:$A,'Mesi-Uomo'!$A9,'Ore-Mese'!$B:$B,VALUE(RIGHT('Mesi-Uomo'!C$1,1)))/1502*12</f>
        <v>1.0106524633821572</v>
      </c>
      <c r="D9" s="19">
        <f>SUMIFS('Ore-Mese'!$D:$D,'Ore-Mese'!$A:$A,'Mesi-Uomo'!$A9,'Ore-Mese'!$B:$B,VALUE(RIGHT('Mesi-Uomo'!D$1,1)))/1502*12</f>
        <v>0</v>
      </c>
      <c r="E9" s="19">
        <f>SUMIFS('Ore-Mese'!$D:$D,'Ore-Mese'!$A:$A,'Mesi-Uomo'!$A9,'Ore-Mese'!$B:$B,VALUE(RIGHT('Mesi-Uomo'!E$1,1)))/1502*12</f>
        <v>0</v>
      </c>
      <c r="F9" s="19">
        <f>SUMIFS('Ore-Mese'!$D:$D,'Ore-Mese'!$A:$A,'Mesi-Uomo'!$A9,'Ore-Mese'!$B:$B,VALUE(RIGHT('Mesi-Uomo'!F$1,1)))/1502*12</f>
        <v>0</v>
      </c>
      <c r="G9" s="20">
        <f t="shared" si="0"/>
        <v>1.0106524633821572</v>
      </c>
      <c r="H9" s="21">
        <f>SUMIF('Ore-Mese'!$A:$A,'Mesi-Uomo'!$A9,'Ore-Mese'!$D:$D)</f>
        <v>126.5</v>
      </c>
    </row>
    <row r="10" spans="1:8" x14ac:dyDescent="0.25">
      <c r="A10" s="65" t="str">
        <f>Generale!A12</f>
        <v>Spena Pier Raffaele</v>
      </c>
      <c r="B10" s="85" t="str">
        <f>Generale!C12</f>
        <v>CTER</v>
      </c>
      <c r="C10" s="19">
        <f>SUMIFS('Ore-Mese'!$D:$D,'Ore-Mese'!$A:$A,'Mesi-Uomo'!$A10,'Ore-Mese'!$B:$B,VALUE(RIGHT('Mesi-Uomo'!C$1,1)))/1502*12</f>
        <v>1.2655126498002667</v>
      </c>
      <c r="D10" s="19">
        <f>SUMIFS('Ore-Mese'!$D:$D,'Ore-Mese'!$A:$A,'Mesi-Uomo'!$A10,'Ore-Mese'!$B:$B,VALUE(RIGHT('Mesi-Uomo'!D$1,1)))/1502*12</f>
        <v>1.2655126498002667</v>
      </c>
      <c r="E10" s="19">
        <f>SUMIFS('Ore-Mese'!$D:$D,'Ore-Mese'!$A:$A,'Mesi-Uomo'!$A10,'Ore-Mese'!$B:$B,VALUE(RIGHT('Mesi-Uomo'!E$1,1)))/1502*12</f>
        <v>0.90519307589880149</v>
      </c>
      <c r="F10" s="19">
        <f>SUMIFS('Ore-Mese'!$D:$D,'Ore-Mese'!$A:$A,'Mesi-Uomo'!$A10,'Ore-Mese'!$B:$B,VALUE(RIGHT('Mesi-Uomo'!F$1,1)))/1502*12</f>
        <v>0.71185086551264964</v>
      </c>
      <c r="G10" s="20">
        <f t="shared" si="0"/>
        <v>4.148069241011985</v>
      </c>
      <c r="H10" s="21">
        <f>SUMIF('Ore-Mese'!$A:$A,'Mesi-Uomo'!$A10,'Ore-Mese'!$D:$D)</f>
        <v>519.20000000000027</v>
      </c>
    </row>
    <row r="11" spans="1:8" x14ac:dyDescent="0.25">
      <c r="A11" s="65" t="str">
        <f>Generale!A13</f>
        <v>Villagrossi Enrico</v>
      </c>
      <c r="B11" s="85" t="str">
        <f>Generale!C13</f>
        <v>Ricercatore</v>
      </c>
      <c r="C11" s="19">
        <f>SUMIFS('Ore-Mese'!$D:$D,'Ore-Mese'!$A:$A,'Mesi-Uomo'!$A11,'Ore-Mese'!$B:$B,VALUE(RIGHT('Mesi-Uomo'!C$1,1)))/1502*12</f>
        <v>3.7494007989347544</v>
      </c>
      <c r="D11" s="19">
        <f>SUMIFS('Ore-Mese'!$D:$D,'Ore-Mese'!$A:$A,'Mesi-Uomo'!$A11,'Ore-Mese'!$B:$B,VALUE(RIGHT('Mesi-Uomo'!D$1,1)))/1502*12</f>
        <v>2.0300932090545936</v>
      </c>
      <c r="E11" s="19">
        <f>SUMIFS('Ore-Mese'!$D:$D,'Ore-Mese'!$A:$A,'Mesi-Uomo'!$A11,'Ore-Mese'!$B:$B,VALUE(RIGHT('Mesi-Uomo'!E$1,1)))/1502*12</f>
        <v>1.4500665778961386</v>
      </c>
      <c r="F11" s="19">
        <f>SUMIFS('Ore-Mese'!$D:$D,'Ore-Mese'!$A:$A,'Mesi-Uomo'!$A11,'Ore-Mese'!$B:$B,VALUE(RIGHT('Mesi-Uomo'!F$1,1)))/1502*12</f>
        <v>0</v>
      </c>
      <c r="G11" s="20">
        <f t="shared" si="0"/>
        <v>7.2295605858854861</v>
      </c>
      <c r="H11" s="21">
        <f>SUMIF('Ore-Mese'!$A:$A,'Mesi-Uomo'!$A11,'Ore-Mese'!$D:$D)</f>
        <v>904.90000000000032</v>
      </c>
    </row>
    <row r="12" spans="1:8" x14ac:dyDescent="0.25">
      <c r="A12" s="65" t="str">
        <f>Generale!A14</f>
        <v>Contratto di Ricerca 1</v>
      </c>
      <c r="B12" s="85" t="str">
        <f>Generale!C14</f>
        <v>Ricercatore</v>
      </c>
      <c r="C12" s="19">
        <f>SUMIFS('Ore-Mese'!$D:$D,'Ore-Mese'!$A:$A,'Mesi-Uomo'!$A12,'Ore-Mese'!$B:$B,VALUE(RIGHT('Mesi-Uomo'!C$1,1)))/1502*12</f>
        <v>5.0332889480692415</v>
      </c>
      <c r="D12" s="19">
        <f>SUMIFS('Ore-Mese'!$D:$D,'Ore-Mese'!$A:$A,'Mesi-Uomo'!$A12,'Ore-Mese'!$B:$B,VALUE(RIGHT('Mesi-Uomo'!D$1,1)))/1502*12</f>
        <v>11.07323568575233</v>
      </c>
      <c r="E12" s="19">
        <f>SUMIFS('Ore-Mese'!$D:$D,'Ore-Mese'!$A:$A,'Mesi-Uomo'!$A12,'Ore-Mese'!$B:$B,VALUE(RIGHT('Mesi-Uomo'!E$1,1)))/1502*12</f>
        <v>8.7882822902796267</v>
      </c>
      <c r="F12" s="19">
        <f>SUMIFS('Ore-Mese'!$D:$D,'Ore-Mese'!$A:$A,'Mesi-Uomo'!$A12,'Ore-Mese'!$B:$B,VALUE(RIGHT('Mesi-Uomo'!F$1,1)))/1502*12</f>
        <v>5.5925432756324902</v>
      </c>
      <c r="G12" s="20">
        <f t="shared" si="0"/>
        <v>30.487350199733687</v>
      </c>
      <c r="H12" s="21">
        <f>SUMIF('Ore-Mese'!$A:$A,'Mesi-Uomo'!$A12,'Ore-Mese'!$D:$D)</f>
        <v>3816</v>
      </c>
    </row>
    <row r="13" spans="1:8" x14ac:dyDescent="0.25">
      <c r="A13" s="65" t="str">
        <f>Generale!A15</f>
        <v>Contratto di Ricerca 2</v>
      </c>
      <c r="B13" s="85" t="str">
        <f>Generale!C15</f>
        <v>Ricercatore</v>
      </c>
      <c r="C13" s="19">
        <f>SUMIFS('Ore-Mese'!$D:$D,'Ore-Mese'!$A:$A,'Mesi-Uomo'!$A13,'Ore-Mese'!$B:$B,VALUE(RIGHT('Mesi-Uomo'!C$1,1)))/1502*12</f>
        <v>0</v>
      </c>
      <c r="D13" s="19">
        <f>SUMIFS('Ore-Mese'!$D:$D,'Ore-Mese'!$A:$A,'Mesi-Uomo'!$A13,'Ore-Mese'!$B:$B,VALUE(RIGHT('Mesi-Uomo'!D$1,1)))/1502*12</f>
        <v>4.474034620505992</v>
      </c>
      <c r="E13" s="19">
        <f>SUMIFS('Ore-Mese'!$D:$D,'Ore-Mese'!$A:$A,'Mesi-Uomo'!$A13,'Ore-Mese'!$B:$B,VALUE(RIGHT('Mesi-Uomo'!E$1,1)))/1502*12</f>
        <v>5.536617842876165</v>
      </c>
      <c r="F13" s="19">
        <f>SUMIFS('Ore-Mese'!$D:$D,'Ore-Mese'!$A:$A,'Mesi-Uomo'!$A13,'Ore-Mese'!$B:$B,VALUE(RIGHT('Mesi-Uomo'!F$1,1)))/1502*12</f>
        <v>7.9094540612516653</v>
      </c>
      <c r="G13" s="20">
        <f t="shared" si="0"/>
        <v>17.920106524633823</v>
      </c>
      <c r="H13" s="21">
        <f>SUMIF('Ore-Mese'!$A:$A,'Mesi-Uomo'!$A13,'Ore-Mese'!$D:$D)</f>
        <v>2243</v>
      </c>
    </row>
    <row r="14" spans="1:8" x14ac:dyDescent="0.25">
      <c r="A14" s="65" t="str">
        <f>Generale!A16</f>
        <v>Incarico di Ricerca 1</v>
      </c>
      <c r="B14" s="85" t="str">
        <f>Generale!C16</f>
        <v>Ricercatore</v>
      </c>
      <c r="C14" s="19">
        <f>SUMIFS('Ore-Mese'!$D:$D,'Ore-Mese'!$A:$A,'Mesi-Uomo'!$A14,'Ore-Mese'!$B:$B,VALUE(RIGHT('Mesi-Uomo'!C$1,1)))/1502*12</f>
        <v>4.0266311584553929</v>
      </c>
      <c r="D14" s="19">
        <f>SUMIFS('Ore-Mese'!$D:$D,'Ore-Mese'!$A:$A,'Mesi-Uomo'!$A14,'Ore-Mese'!$B:$B,VALUE(RIGHT('Mesi-Uomo'!D$1,1)))/1502*12</f>
        <v>11.07323568575233</v>
      </c>
      <c r="E14" s="19">
        <f>SUMIFS('Ore-Mese'!$D:$D,'Ore-Mese'!$A:$A,'Mesi-Uomo'!$A14,'Ore-Mese'!$B:$B,VALUE(RIGHT('Mesi-Uomo'!E$1,1)))/1502*12</f>
        <v>5.536617842876165</v>
      </c>
      <c r="F14" s="19">
        <f>SUMIFS('Ore-Mese'!$D:$D,'Ore-Mese'!$A:$A,'Mesi-Uomo'!$A14,'Ore-Mese'!$B:$B,VALUE(RIGHT('Mesi-Uomo'!F$1,1)))/1502*12</f>
        <v>5.536617842876165</v>
      </c>
      <c r="G14" s="20">
        <f t="shared" si="0"/>
        <v>26.173102529960051</v>
      </c>
      <c r="H14" s="21">
        <f>SUMIF('Ore-Mese'!$A:$A,'Mesi-Uomo'!$A14,'Ore-Mese'!$D:$D)</f>
        <v>3276</v>
      </c>
    </row>
    <row r="15" spans="1:8" x14ac:dyDescent="0.25">
      <c r="A15" s="65" t="str">
        <f>Generale!A17</f>
        <v>Incarico di Ricerca 2</v>
      </c>
      <c r="B15" s="85" t="str">
        <f>Generale!C17</f>
        <v>Ricercatore</v>
      </c>
      <c r="C15" s="19">
        <f>SUMIFS('Ore-Mese'!$D:$D,'Ore-Mese'!$A:$A,'Mesi-Uomo'!$A15,'Ore-Mese'!$B:$B,VALUE(RIGHT('Mesi-Uomo'!C$1,1)))/1502*12</f>
        <v>4.0266311584553929</v>
      </c>
      <c r="D15" s="19">
        <f>SUMIFS('Ore-Mese'!$D:$D,'Ore-Mese'!$A:$A,'Mesi-Uomo'!$A15,'Ore-Mese'!$B:$B,VALUE(RIGHT('Mesi-Uomo'!D$1,1)))/1502*12</f>
        <v>11.07323568575233</v>
      </c>
      <c r="E15" s="19">
        <f>SUMIFS('Ore-Mese'!$D:$D,'Ore-Mese'!$A:$A,'Mesi-Uomo'!$A15,'Ore-Mese'!$B:$B,VALUE(RIGHT('Mesi-Uomo'!E$1,1)))/1502*12</f>
        <v>5.536617842876165</v>
      </c>
      <c r="F15" s="19">
        <f>SUMIFS('Ore-Mese'!$D:$D,'Ore-Mese'!$A:$A,'Mesi-Uomo'!$A15,'Ore-Mese'!$B:$B,VALUE(RIGHT('Mesi-Uomo'!F$1,1)))/1502*12</f>
        <v>5.536617842876165</v>
      </c>
      <c r="G15" s="20">
        <f t="shared" si="0"/>
        <v>26.173102529960051</v>
      </c>
      <c r="H15" s="21">
        <f>SUMIF('Ore-Mese'!$A:$A,'Mesi-Uomo'!$A15,'Ore-Mese'!$D:$D)</f>
        <v>3276</v>
      </c>
    </row>
    <row r="16" spans="1:8" x14ac:dyDescent="0.25">
      <c r="A16" s="65" t="str">
        <f>Generale!A18</f>
        <v>Fontana Gianmauro</v>
      </c>
      <c r="B16" s="85" t="str">
        <f>Generale!C18</f>
        <v>Ricercatore</v>
      </c>
      <c r="C16" s="19">
        <f>SUMIFS('Ore-Mese'!$D:$D,'Ore-Mese'!$A:$A,'Mesi-Uomo'!$A16,'Ore-Mese'!$B:$B,VALUE(RIGHT('Mesi-Uomo'!C$1,1)))/1502*12</f>
        <v>6.5912117177097205</v>
      </c>
      <c r="D16" s="19">
        <f>SUMIFS('Ore-Mese'!$D:$D,'Ore-Mese'!$A:$A,'Mesi-Uomo'!$A16,'Ore-Mese'!$B:$B,VALUE(RIGHT('Mesi-Uomo'!D$1,1)))/1502*12</f>
        <v>0</v>
      </c>
      <c r="E16" s="19">
        <f>SUMIFS('Ore-Mese'!$D:$D,'Ore-Mese'!$A:$A,'Mesi-Uomo'!$A16,'Ore-Mese'!$B:$B,VALUE(RIGHT('Mesi-Uomo'!E$1,1)))/1502*12</f>
        <v>0</v>
      </c>
      <c r="F16" s="19">
        <f>SUMIFS('Ore-Mese'!$D:$D,'Ore-Mese'!$A:$A,'Mesi-Uomo'!$A16,'Ore-Mese'!$B:$B,VALUE(RIGHT('Mesi-Uomo'!F$1,1)))/1502*12</f>
        <v>0</v>
      </c>
      <c r="G16" s="20">
        <f t="shared" si="0"/>
        <v>6.5912117177097205</v>
      </c>
      <c r="H16" s="21">
        <f>SUMIF('Ore-Mese'!$A:$A,'Mesi-Uomo'!$A16,'Ore-Mese'!$D:$D)</f>
        <v>825</v>
      </c>
    </row>
    <row r="17" spans="1:8" x14ac:dyDescent="0.25">
      <c r="A17" s="65">
        <f>Generale!A19</f>
        <v>0</v>
      </c>
      <c r="B17" s="85">
        <f>Generale!C19</f>
        <v>0</v>
      </c>
      <c r="C17" s="19">
        <f>SUMIFS('Ore-Mese'!$D:$D,'Ore-Mese'!$A:$A,'Mesi-Uomo'!$A17,'Ore-Mese'!$B:$B,VALUE(RIGHT('Mesi-Uomo'!C$1,1)))/1502*12</f>
        <v>0</v>
      </c>
      <c r="D17" s="19">
        <f>SUMIFS('Ore-Mese'!$D:$D,'Ore-Mese'!$A:$A,'Mesi-Uomo'!$A17,'Ore-Mese'!$B:$B,VALUE(RIGHT('Mesi-Uomo'!D$1,1)))/1502*12</f>
        <v>0</v>
      </c>
      <c r="E17" s="19">
        <f>SUMIFS('Ore-Mese'!$D:$D,'Ore-Mese'!$A:$A,'Mesi-Uomo'!$A17,'Ore-Mese'!$B:$B,VALUE(RIGHT('Mesi-Uomo'!E$1,1)))/1502*12</f>
        <v>0</v>
      </c>
      <c r="F17" s="19">
        <f>SUMIFS('Ore-Mese'!$D:$D,'Ore-Mese'!$A:$A,'Mesi-Uomo'!$A17,'Ore-Mese'!$B:$B,VALUE(RIGHT('Mesi-Uomo'!F$1,1)))/1502*12</f>
        <v>0</v>
      </c>
      <c r="G17" s="20">
        <f t="shared" si="0"/>
        <v>0</v>
      </c>
      <c r="H17" s="21">
        <f>SUMIF('Ore-Mese'!$A:$A,'Mesi-Uomo'!$A17,'Ore-Mese'!$D:$D)</f>
        <v>0</v>
      </c>
    </row>
    <row r="18" spans="1:8" x14ac:dyDescent="0.25">
      <c r="A18" s="65">
        <f>Generale!A20</f>
        <v>0</v>
      </c>
      <c r="B18" s="85">
        <f>Generale!C20</f>
        <v>0</v>
      </c>
      <c r="C18" s="19">
        <f>SUMIFS('Ore-Mese'!$D:$D,'Ore-Mese'!$A:$A,'Mesi-Uomo'!$A18,'Ore-Mese'!$B:$B,VALUE(RIGHT('Mesi-Uomo'!C$1,1)))/1502*12</f>
        <v>0</v>
      </c>
      <c r="D18" s="19">
        <f>SUMIFS('Ore-Mese'!$D:$D,'Ore-Mese'!$A:$A,'Mesi-Uomo'!$A18,'Ore-Mese'!$B:$B,VALUE(RIGHT('Mesi-Uomo'!D$1,1)))/1502*12</f>
        <v>0</v>
      </c>
      <c r="E18" s="19">
        <f>SUMIFS('Ore-Mese'!$D:$D,'Ore-Mese'!$A:$A,'Mesi-Uomo'!$A18,'Ore-Mese'!$B:$B,VALUE(RIGHT('Mesi-Uomo'!E$1,1)))/1502*12</f>
        <v>0</v>
      </c>
      <c r="F18" s="19">
        <f>SUMIFS('Ore-Mese'!$D:$D,'Ore-Mese'!$A:$A,'Mesi-Uomo'!$A18,'Ore-Mese'!$B:$B,VALUE(RIGHT('Mesi-Uomo'!F$1,1)))/1502*12</f>
        <v>0</v>
      </c>
      <c r="G18" s="20">
        <f t="shared" si="0"/>
        <v>0</v>
      </c>
      <c r="H18" s="21">
        <f>SUMIF('Ore-Mese'!$A:$A,'Mesi-Uomo'!$A18,'Ore-Mese'!$D:$D)</f>
        <v>0</v>
      </c>
    </row>
    <row r="19" spans="1:8" x14ac:dyDescent="0.25">
      <c r="A19" s="65">
        <f>Generale!A21</f>
        <v>0</v>
      </c>
      <c r="B19" s="85">
        <f>Generale!C21</f>
        <v>0</v>
      </c>
      <c r="C19" s="19">
        <f>SUMIFS('Ore-Mese'!$D:$D,'Ore-Mese'!$A:$A,'Mesi-Uomo'!$A19,'Ore-Mese'!$B:$B,VALUE(RIGHT('Mesi-Uomo'!C$1,1)))/1502*12</f>
        <v>0</v>
      </c>
      <c r="D19" s="19">
        <f>SUMIFS('Ore-Mese'!$D:$D,'Ore-Mese'!$A:$A,'Mesi-Uomo'!$A19,'Ore-Mese'!$B:$B,VALUE(RIGHT('Mesi-Uomo'!D$1,1)))/1502*12</f>
        <v>0</v>
      </c>
      <c r="E19" s="19">
        <f>SUMIFS('Ore-Mese'!$D:$D,'Ore-Mese'!$A:$A,'Mesi-Uomo'!$A19,'Ore-Mese'!$B:$B,VALUE(RIGHT('Mesi-Uomo'!E$1,1)))/1502*12</f>
        <v>0</v>
      </c>
      <c r="F19" s="19">
        <f>SUMIFS('Ore-Mese'!$D:$D,'Ore-Mese'!$A:$A,'Mesi-Uomo'!$A19,'Ore-Mese'!$B:$B,VALUE(RIGHT('Mesi-Uomo'!F$1,1)))/1502*12</f>
        <v>0</v>
      </c>
      <c r="G19" s="20">
        <f t="shared" si="0"/>
        <v>0</v>
      </c>
      <c r="H19" s="21">
        <f>SUMIF('Ore-Mese'!$A:$A,'Mesi-Uomo'!$A19,'Ore-Mese'!$D:$D)</f>
        <v>0</v>
      </c>
    </row>
    <row r="20" spans="1:8" x14ac:dyDescent="0.25">
      <c r="A20" s="65">
        <f>Generale!A22</f>
        <v>0</v>
      </c>
      <c r="B20" s="85">
        <f>Generale!C22</f>
        <v>0</v>
      </c>
      <c r="C20" s="19">
        <f>SUMIFS('Ore-Mese'!$D:$D,'Ore-Mese'!$A:$A,'Mesi-Uomo'!$A20,'Ore-Mese'!$B:$B,VALUE(RIGHT('Mesi-Uomo'!C$1,1)))/1502*12</f>
        <v>0</v>
      </c>
      <c r="D20" s="19">
        <f>SUMIFS('Ore-Mese'!$D:$D,'Ore-Mese'!$A:$A,'Mesi-Uomo'!$A20,'Ore-Mese'!$B:$B,VALUE(RIGHT('Mesi-Uomo'!D$1,1)))/1502*12</f>
        <v>0</v>
      </c>
      <c r="E20" s="19">
        <f>SUMIFS('Ore-Mese'!$D:$D,'Ore-Mese'!$A:$A,'Mesi-Uomo'!$A20,'Ore-Mese'!$B:$B,VALUE(RIGHT('Mesi-Uomo'!E$1,1)))/1502*12</f>
        <v>0</v>
      </c>
      <c r="F20" s="19">
        <f>SUMIFS('Ore-Mese'!$D:$D,'Ore-Mese'!$A:$A,'Mesi-Uomo'!$A20,'Ore-Mese'!$B:$B,VALUE(RIGHT('Mesi-Uomo'!F$1,1)))/1502*12</f>
        <v>0</v>
      </c>
      <c r="G20" s="20">
        <f t="shared" si="0"/>
        <v>0</v>
      </c>
      <c r="H20" s="21">
        <f>SUMIF('Ore-Mese'!$A:$A,'Mesi-Uomo'!$A20,'Ore-Mese'!$D:$D)</f>
        <v>0</v>
      </c>
    </row>
    <row r="21" spans="1:8" x14ac:dyDescent="0.25">
      <c r="A21" s="65">
        <f>Generale!A23</f>
        <v>0</v>
      </c>
      <c r="B21" s="85">
        <f>Generale!C23</f>
        <v>0</v>
      </c>
      <c r="C21" s="19">
        <f>SUMIFS('Ore-Mese'!$D:$D,'Ore-Mese'!$A:$A,'Mesi-Uomo'!$A21,'Ore-Mese'!$B:$B,VALUE(RIGHT('Mesi-Uomo'!C$1,1)))/1502*12</f>
        <v>0</v>
      </c>
      <c r="D21" s="19">
        <f>SUMIFS('Ore-Mese'!$D:$D,'Ore-Mese'!$A:$A,'Mesi-Uomo'!$A21,'Ore-Mese'!$B:$B,VALUE(RIGHT('Mesi-Uomo'!D$1,1)))/1502*12</f>
        <v>0</v>
      </c>
      <c r="E21" s="19">
        <f>SUMIFS('Ore-Mese'!$D:$D,'Ore-Mese'!$A:$A,'Mesi-Uomo'!$A21,'Ore-Mese'!$B:$B,VALUE(RIGHT('Mesi-Uomo'!E$1,1)))/1502*12</f>
        <v>0</v>
      </c>
      <c r="F21" s="19">
        <f>SUMIFS('Ore-Mese'!$D:$D,'Ore-Mese'!$A:$A,'Mesi-Uomo'!$A21,'Ore-Mese'!$B:$B,VALUE(RIGHT('Mesi-Uomo'!F$1,1)))/1502*12</f>
        <v>0</v>
      </c>
      <c r="G21" s="20">
        <f t="shared" si="0"/>
        <v>0</v>
      </c>
      <c r="H21" s="21">
        <f>SUMIF('Ore-Mese'!$A:$A,'Mesi-Uomo'!$A21,'Ore-Mese'!$D:$D)</f>
        <v>0</v>
      </c>
    </row>
    <row r="22" spans="1:8" x14ac:dyDescent="0.25">
      <c r="A22" s="65">
        <f>Generale!A24</f>
        <v>0</v>
      </c>
      <c r="B22" s="85">
        <f>Generale!C24</f>
        <v>0</v>
      </c>
      <c r="C22" s="19">
        <f>SUMIFS('Ore-Mese'!$D:$D,'Ore-Mese'!$A:$A,'Mesi-Uomo'!$A22,'Ore-Mese'!$B:$B,VALUE(RIGHT('Mesi-Uomo'!C$1,1)))/1502*12</f>
        <v>0</v>
      </c>
      <c r="D22" s="19">
        <f>SUMIFS('Ore-Mese'!$D:$D,'Ore-Mese'!$A:$A,'Mesi-Uomo'!$A22,'Ore-Mese'!$B:$B,VALUE(RIGHT('Mesi-Uomo'!D$1,1)))/1502*12</f>
        <v>0</v>
      </c>
      <c r="E22" s="19">
        <f>SUMIFS('Ore-Mese'!$D:$D,'Ore-Mese'!$A:$A,'Mesi-Uomo'!$A22,'Ore-Mese'!$B:$B,VALUE(RIGHT('Mesi-Uomo'!E$1,1)))/1502*12</f>
        <v>0</v>
      </c>
      <c r="F22" s="19">
        <f>SUMIFS('Ore-Mese'!$D:$D,'Ore-Mese'!$A:$A,'Mesi-Uomo'!$A22,'Ore-Mese'!$B:$B,VALUE(RIGHT('Mesi-Uomo'!F$1,1)))/1502*12</f>
        <v>0</v>
      </c>
      <c r="G22" s="20">
        <f t="shared" si="0"/>
        <v>0</v>
      </c>
      <c r="H22" s="21">
        <f>SUMIF('Ore-Mese'!$A:$A,'Mesi-Uomo'!$A22,'Ore-Mese'!$D:$D)</f>
        <v>0</v>
      </c>
    </row>
    <row r="23" spans="1:8" x14ac:dyDescent="0.25">
      <c r="A23" s="65">
        <f>Generale!A25</f>
        <v>0</v>
      </c>
      <c r="B23" s="85">
        <f>Generale!C25</f>
        <v>0</v>
      </c>
      <c r="C23" s="19">
        <f>SUMIFS('Ore-Mese'!$D:$D,'Ore-Mese'!$A:$A,'Mesi-Uomo'!$A23,'Ore-Mese'!$B:$B,VALUE(RIGHT('Mesi-Uomo'!C$1,1)))/1502*12</f>
        <v>0</v>
      </c>
      <c r="D23" s="19">
        <f>SUMIFS('Ore-Mese'!$D:$D,'Ore-Mese'!$A:$A,'Mesi-Uomo'!$A23,'Ore-Mese'!$B:$B,VALUE(RIGHT('Mesi-Uomo'!D$1,1)))/1502*12</f>
        <v>0</v>
      </c>
      <c r="E23" s="19">
        <f>SUMIFS('Ore-Mese'!$D:$D,'Ore-Mese'!$A:$A,'Mesi-Uomo'!$A23,'Ore-Mese'!$B:$B,VALUE(RIGHT('Mesi-Uomo'!E$1,1)))/1502*12</f>
        <v>0</v>
      </c>
      <c r="F23" s="19">
        <f>SUMIFS('Ore-Mese'!$D:$D,'Ore-Mese'!$A:$A,'Mesi-Uomo'!$A23,'Ore-Mese'!$B:$B,VALUE(RIGHT('Mesi-Uomo'!F$1,1)))/1502*12</f>
        <v>0</v>
      </c>
      <c r="G23" s="20">
        <f t="shared" si="0"/>
        <v>0</v>
      </c>
      <c r="H23" s="21">
        <f>SUMIF('Ore-Mese'!$A:$A,'Mesi-Uomo'!$A23,'Ore-Mese'!$D:$D)</f>
        <v>0</v>
      </c>
    </row>
    <row r="24" spans="1:8" x14ac:dyDescent="0.25">
      <c r="A24" s="66" t="s">
        <v>36</v>
      </c>
      <c r="B24" s="86"/>
      <c r="C24" s="22">
        <f t="shared" ref="C24:H24" si="1">SUM(C2:C12)</f>
        <v>36.123035952063915</v>
      </c>
      <c r="D24" s="22">
        <f t="shared" si="1"/>
        <v>33.975499334221041</v>
      </c>
      <c r="E24" s="22">
        <f t="shared" si="1"/>
        <v>25.732090545938746</v>
      </c>
      <c r="F24" s="22">
        <f t="shared" si="1"/>
        <v>17.527030625832225</v>
      </c>
      <c r="G24" s="22">
        <f t="shared" si="1"/>
        <v>113.35765645805591</v>
      </c>
      <c r="H24" s="23">
        <f t="shared" si="1"/>
        <v>14188.6</v>
      </c>
    </row>
  </sheetData>
  <phoneticPr fontId="12" type="noConversion"/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ef4e5e-247f-4a89-b7e5-1968c509544b">
      <Terms xmlns="http://schemas.microsoft.com/office/infopath/2007/PartnerControls"/>
    </lcf76f155ced4ddcb4097134ff3c332f>
    <TaxCatchAll xmlns="d533452b-9663-4522-a270-ae8d05891bd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319B0B20B3DE41BEF41CFACEAC753C" ma:contentTypeVersion="10" ma:contentTypeDescription="Create a new document." ma:contentTypeScope="" ma:versionID="9f20efac135d8cfdd2fa348af50dfbde">
  <xsd:schema xmlns:xsd="http://www.w3.org/2001/XMLSchema" xmlns:xs="http://www.w3.org/2001/XMLSchema" xmlns:p="http://schemas.microsoft.com/office/2006/metadata/properties" xmlns:ns2="1def4e5e-247f-4a89-b7e5-1968c509544b" xmlns:ns3="d533452b-9663-4522-a270-ae8d05891bde" targetNamespace="http://schemas.microsoft.com/office/2006/metadata/properties" ma:root="true" ma:fieldsID="79fea841e550a97224ba8a6d213143fe" ns2:_="" ns3:_="">
    <xsd:import namespace="1def4e5e-247f-4a89-b7e5-1968c509544b"/>
    <xsd:import namespace="d533452b-9663-4522-a270-ae8d05891b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ef4e5e-247f-4a89-b7e5-1968c50954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5505f8f-da62-40e5-a116-f08e700315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33452b-9663-4522-a270-ae8d05891bd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2ffd63e-dad7-4922-9072-1c4c28cd6dac}" ma:internalName="TaxCatchAll" ma:showField="CatchAllData" ma:web="d533452b-9663-4522-a270-ae8d05891b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01DDD1-B64E-456E-871D-905E86911C68}">
  <ds:schemaRefs>
    <ds:schemaRef ds:uri="http://schemas.microsoft.com/office/2006/metadata/properties"/>
    <ds:schemaRef ds:uri="http://schemas.microsoft.com/office/infopath/2007/PartnerControls"/>
    <ds:schemaRef ds:uri="1def4e5e-247f-4a89-b7e5-1968c509544b"/>
    <ds:schemaRef ds:uri="d533452b-9663-4522-a270-ae8d05891bde"/>
  </ds:schemaRefs>
</ds:datastoreItem>
</file>

<file path=customXml/itemProps2.xml><?xml version="1.0" encoding="utf-8"?>
<ds:datastoreItem xmlns:ds="http://schemas.openxmlformats.org/officeDocument/2006/customXml" ds:itemID="{F87242FC-42B2-4ED7-B423-3335F97E85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0B1412-65E4-4452-895F-C30D39F9F7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ef4e5e-247f-4a89-b7e5-1968c509544b"/>
    <ds:schemaRef ds:uri="d533452b-9663-4522-a270-ae8d05891b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Generale</vt:lpstr>
      <vt:lpstr>Ore-Mese</vt:lpstr>
      <vt:lpstr>Mesi-Uomo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NICOLA PEDROCCHI</cp:lastModifiedBy>
  <cp:revision>0</cp:revision>
  <cp:lastPrinted>2026-05-05T12:47:28Z</cp:lastPrinted>
  <dcterms:created xsi:type="dcterms:W3CDTF">2026-01-07T22:27:36Z</dcterms:created>
  <dcterms:modified xsi:type="dcterms:W3CDTF">2026-07-22T13:04:51Z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0x01010093319B0B20B3DE41BEF41CFACEAC753C</vt:lpwstr>
  </property>
  <property fmtid="{D5CDD505-2E9C-101B-9397-08002B2CF9AE}" pid="3" name="MediaServiceImageTags">
    <vt:lpwstr/>
  </property>
</Properties>
</file>